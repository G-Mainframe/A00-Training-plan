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35" windowWidth="14805" windowHeight="5835" tabRatio="704"/>
  </bookViews>
  <sheets>
    <sheet name="Mainframe课程" sheetId="17" r:id="rId1"/>
    <sheet name="ETP MF Sun" sheetId="7" r:id="rId2"/>
    <sheet name="空白" sheetId="6" state="hidden" r:id="rId3"/>
    <sheet name="JSP" sheetId="4" state="hidden" r:id="rId4"/>
    <sheet name="Java" sheetId="5" state="hidden" r:id="rId5"/>
    <sheet name="日常考评记录" sheetId="12" r:id="rId6"/>
    <sheet name="ETP大型机课程计划OLD" sheetId="8" r:id="rId7"/>
    <sheet name="日历" sheetId="13" r:id="rId8"/>
    <sheet name="授课日记" sheetId="11" r:id="rId9"/>
    <sheet name="常熟三期MF班级状况表" sheetId="10" r:id="rId10"/>
    <sheet name="座位表" sheetId="15" r:id="rId11"/>
    <sheet name="小组" sheetId="16" r:id="rId12"/>
  </sheets>
  <definedNames>
    <definedName name="_xlnm._FilterDatabase" localSheetId="9" hidden="1">常熟三期MF班级状况表!$A$1:$U$63</definedName>
    <definedName name="_xlnm._FilterDatabase" localSheetId="8" hidden="1">授课日记!$A$1:$D$55</definedName>
    <definedName name="_xlnm.Print_Area" localSheetId="0">Mainframe课程!$A$1:$AO$124</definedName>
    <definedName name="_xlnm.Print_Titles" localSheetId="4">Java!$1:$6</definedName>
    <definedName name="_xlnm.Print_Titles" localSheetId="0">Mainframe课程!$1:$1</definedName>
  </definedNames>
  <calcPr calcId="152511"/>
</workbook>
</file>

<file path=xl/calcChain.xml><?xml version="1.0" encoding="utf-8"?>
<calcChain xmlns="http://schemas.openxmlformats.org/spreadsheetml/2006/main">
  <c r="K7" i="13" l="1"/>
  <c r="K5" i="13"/>
  <c r="L95" i="7"/>
  <c r="E43" i="7"/>
  <c r="E2" i="7"/>
  <c r="E86" i="7"/>
  <c r="E79" i="7"/>
  <c r="E90" i="7"/>
  <c r="E71" i="7"/>
  <c r="E96" i="7" s="1" a="1"/>
  <c r="E96" i="7" s="1"/>
  <c r="E95" i="7" l="1" a="1"/>
  <c r="E95" i="7" s="1"/>
  <c r="L96" i="7" s="1"/>
</calcChain>
</file>

<file path=xl/sharedStrings.xml><?xml version="1.0" encoding="utf-8"?>
<sst xmlns="http://schemas.openxmlformats.org/spreadsheetml/2006/main" count="1220" uniqueCount="823">
  <si>
    <t>EJB介绍</t>
    <phoneticPr fontId="3" type="noConversion"/>
  </si>
  <si>
    <t>课程总结</t>
    <phoneticPr fontId="3" type="noConversion"/>
  </si>
  <si>
    <t>JavaScript控制、代码优化、页面布局设定</t>
    <phoneticPr fontId="3" type="noConversion"/>
  </si>
  <si>
    <t>用Java实现分页操作</t>
    <phoneticPr fontId="3" type="noConversion"/>
  </si>
  <si>
    <t>学生选课系统 总结</t>
    <phoneticPr fontId="3" type="noConversion"/>
  </si>
  <si>
    <t>JAVA的异常处理机制在开发中的使用</t>
    <phoneticPr fontId="3" type="noConversion"/>
  </si>
  <si>
    <t>学生选课记录操作(添加、删除)</t>
    <phoneticPr fontId="3" type="noConversion"/>
  </si>
  <si>
    <t>接口在开发中的使用</t>
    <phoneticPr fontId="3" type="noConversion"/>
  </si>
  <si>
    <t>JAVA基础类库提供的排序机制</t>
    <phoneticPr fontId="3" type="noConversion"/>
  </si>
  <si>
    <r>
      <t>学生选课系统</t>
    </r>
    <r>
      <rPr>
        <sz val="9"/>
        <rFont val="Times New Roman"/>
        <family val="1"/>
      </rPr>
      <t/>
    </r>
    <phoneticPr fontId="3" type="noConversion"/>
  </si>
  <si>
    <t>数据库组件制作</t>
    <phoneticPr fontId="3" type="noConversion"/>
  </si>
  <si>
    <t>式样分析及流程制定</t>
    <phoneticPr fontId="3" type="noConversion"/>
  </si>
  <si>
    <t>选课系统概要(式样书)</t>
    <phoneticPr fontId="3" type="noConversion"/>
  </si>
  <si>
    <t>学生选课系统 设计与规划</t>
    <phoneticPr fontId="3" type="noConversion"/>
  </si>
  <si>
    <t>实现具体业务逻辑部分(*)</t>
    <phoneticPr fontId="3" type="noConversion"/>
  </si>
  <si>
    <t>部件的制作方法(*)</t>
    <phoneticPr fontId="3" type="noConversion"/>
  </si>
  <si>
    <t>实现具体业务逻辑部分</t>
    <phoneticPr fontId="3" type="noConversion"/>
  </si>
  <si>
    <t>部件制作方法</t>
    <phoneticPr fontId="3" type="noConversion"/>
  </si>
  <si>
    <t>框架概述</t>
    <phoneticPr fontId="3" type="noConversion"/>
  </si>
  <si>
    <t>基础框架(FrameWork)</t>
    <phoneticPr fontId="3" type="noConversion"/>
  </si>
  <si>
    <t>Servlet例程代码</t>
    <phoneticPr fontId="3" type="noConversion"/>
  </si>
  <si>
    <t>创建Servlet基础类</t>
    <phoneticPr fontId="3" type="noConversion"/>
  </si>
  <si>
    <t>基础工具类（数据库、文件操作）</t>
    <phoneticPr fontId="3" type="noConversion"/>
  </si>
  <si>
    <t>构造基础类库</t>
    <phoneticPr fontId="3" type="noConversion"/>
  </si>
  <si>
    <t>使用数据库连接池</t>
    <phoneticPr fontId="3" type="noConversion"/>
  </si>
  <si>
    <t>数据库连接池的代码实现</t>
    <phoneticPr fontId="3" type="noConversion"/>
  </si>
  <si>
    <t>数据库连接池的概念</t>
    <phoneticPr fontId="3" type="noConversion"/>
  </si>
  <si>
    <t>基本连接方法</t>
    <phoneticPr fontId="3" type="noConversion"/>
  </si>
  <si>
    <t>JDBC与SERVLET的结合</t>
    <phoneticPr fontId="3" type="noConversion"/>
  </si>
  <si>
    <t>WEB.XML 语法概述</t>
    <phoneticPr fontId="3" type="noConversion"/>
  </si>
  <si>
    <t>MVC 模式概述</t>
    <phoneticPr fontId="3" type="noConversion"/>
  </si>
  <si>
    <t>SourceSafe 使用简述</t>
    <phoneticPr fontId="3" type="noConversion"/>
  </si>
  <si>
    <t>JavaScript 语言概述</t>
    <phoneticPr fontId="3" type="noConversion"/>
  </si>
  <si>
    <t>HTML 语法基础知识</t>
    <phoneticPr fontId="3" type="noConversion"/>
  </si>
  <si>
    <t xml:space="preserve">WEB开发的必备知识
</t>
    <phoneticPr fontId="3" type="noConversion"/>
  </si>
  <si>
    <t>JAVA BEAN相关知识</t>
    <phoneticPr fontId="3" type="noConversion"/>
  </si>
  <si>
    <t>XML兼容样式的标志</t>
    <phoneticPr fontId="3" type="noConversion"/>
  </si>
  <si>
    <t>创建JSP页面（隐含变量、表达式）</t>
    <phoneticPr fontId="3" type="noConversion"/>
  </si>
  <si>
    <t>JSP发展概述</t>
    <phoneticPr fontId="3" type="noConversion"/>
  </si>
  <si>
    <t>JSP基础知识</t>
    <phoneticPr fontId="3" type="noConversion"/>
  </si>
  <si>
    <t>设置进行Servlet开发的系统</t>
    <phoneticPr fontId="3" type="noConversion"/>
  </si>
  <si>
    <t>Destroy方法</t>
    <phoneticPr fontId="3" type="noConversion"/>
  </si>
  <si>
    <t>使用Cookies</t>
    <phoneticPr fontId="3" type="noConversion"/>
  </si>
  <si>
    <t>HttpServletResponse增加的方法</t>
    <phoneticPr fontId="3" type="noConversion"/>
  </si>
  <si>
    <t>MIME内容类型</t>
    <phoneticPr fontId="3" type="noConversion"/>
  </si>
  <si>
    <t>ServletRequest接口中方法</t>
    <phoneticPr fontId="3" type="noConversion"/>
  </si>
  <si>
    <t>HTTP请求服务器方法</t>
    <phoneticPr fontId="3" type="noConversion"/>
  </si>
  <si>
    <t>Init方法</t>
    <phoneticPr fontId="3" type="noConversion"/>
  </si>
  <si>
    <t>基本Servlet</t>
    <phoneticPr fontId="3" type="noConversion"/>
  </si>
  <si>
    <t>Servlet 同步资源访问</t>
    <phoneticPr fontId="3" type="noConversion"/>
  </si>
  <si>
    <t>Servlet 变量存储问题</t>
    <phoneticPr fontId="3" type="noConversion"/>
  </si>
  <si>
    <t>Servlet 线程模型</t>
    <phoneticPr fontId="3" type="noConversion"/>
  </si>
  <si>
    <t>javax.servlet.http包中的类</t>
    <phoneticPr fontId="3" type="noConversion"/>
  </si>
  <si>
    <t>javax.servlet包定义的接口</t>
    <phoneticPr fontId="3" type="noConversion"/>
  </si>
  <si>
    <t>Servlet API有关的包</t>
    <phoneticPr fontId="3" type="noConversion"/>
  </si>
  <si>
    <t>Servlet引擎的内部工作</t>
    <phoneticPr fontId="3" type="noConversion"/>
  </si>
  <si>
    <t>Servlet基础二</t>
    <phoneticPr fontId="3" type="noConversion"/>
  </si>
  <si>
    <t>Post方法详解</t>
    <phoneticPr fontId="3" type="noConversion"/>
  </si>
  <si>
    <t>Get方法详解</t>
    <phoneticPr fontId="3" type="noConversion"/>
  </si>
  <si>
    <t>介绍</t>
    <phoneticPr fontId="3" type="noConversion"/>
  </si>
  <si>
    <t>Servlet基础二</t>
  </si>
  <si>
    <t>jbuilder及相关开发软件的准备</t>
    <phoneticPr fontId="3" type="noConversion"/>
  </si>
  <si>
    <t>Tomcat调试环境设定</t>
    <phoneticPr fontId="3" type="noConversion"/>
  </si>
  <si>
    <t>代码规则</t>
    <phoneticPr fontId="3" type="noConversion"/>
  </si>
  <si>
    <t>java编程思想</t>
    <phoneticPr fontId="3" type="noConversion"/>
  </si>
  <si>
    <t>编程预备知识</t>
    <phoneticPr fontId="3" type="noConversion"/>
  </si>
  <si>
    <t>知识点</t>
    <phoneticPr fontId="3" type="noConversion"/>
  </si>
  <si>
    <t>内容概述</t>
    <phoneticPr fontId="3" type="noConversion"/>
  </si>
  <si>
    <t>课次</t>
    <phoneticPr fontId="3" type="noConversion"/>
  </si>
  <si>
    <t>完成时间：2003-3-22            授课教师：苗畅华</t>
    <phoneticPr fontId="3" type="noConversion"/>
  </si>
  <si>
    <t>Java Server Page</t>
    <phoneticPr fontId="3" type="noConversion"/>
  </si>
  <si>
    <t>5 向量</t>
  </si>
  <si>
    <t>4 散列表</t>
  </si>
  <si>
    <t>3 树</t>
  </si>
  <si>
    <t>2 堆栈</t>
  </si>
  <si>
    <t>1 链表</t>
  </si>
  <si>
    <t>Java与数据结构</t>
    <phoneticPr fontId="3" type="noConversion"/>
  </si>
  <si>
    <t>3 各种组件</t>
  </si>
  <si>
    <t>2 中间容器</t>
  </si>
  <si>
    <t>1 几个重要的类</t>
  </si>
  <si>
    <t>Swing基础</t>
    <phoneticPr fontId="3" type="noConversion"/>
  </si>
  <si>
    <t>4 Java媒体框架（JMF）</t>
  </si>
  <si>
    <t>3 播放多个音频文件</t>
  </si>
  <si>
    <t>2 在另外一个线程中创建音频对象</t>
  </si>
  <si>
    <t>1 在小程序中播放声音</t>
  </si>
  <si>
    <t>java与多媒体</t>
    <phoneticPr fontId="3" type="noConversion"/>
  </si>
  <si>
    <t>6 数据库查询中的套接字技术</t>
  </si>
  <si>
    <t>5 查询与修改</t>
  </si>
  <si>
    <t>4 连接Oracle数据库</t>
  </si>
  <si>
    <t>3 连接SQL Server数据库</t>
  </si>
  <si>
    <t>2 JDBC-ODBC桥接器</t>
  </si>
  <si>
    <t>1 设置数据源</t>
  </si>
  <si>
    <t>Java数据库连接（JDBC）</t>
    <phoneticPr fontId="3" type="noConversion"/>
  </si>
  <si>
    <t>4 在应用程序中绘图</t>
  </si>
  <si>
    <t>3 播放幻灯片和动画</t>
  </si>
  <si>
    <t>2 Image类</t>
  </si>
  <si>
    <t>1 图像类型</t>
  </si>
  <si>
    <t>Java与图像</t>
    <phoneticPr fontId="3" type="noConversion"/>
  </si>
  <si>
    <t>7 网络聊天室、网络标准化考试、网上QQ</t>
  </si>
  <si>
    <t>6 InetAddress地址类</t>
  </si>
  <si>
    <t>5 数据报</t>
  </si>
  <si>
    <t>4 网络套接字</t>
  </si>
  <si>
    <t>3 打开URL输入流</t>
  </si>
  <si>
    <t>2 使用URLConnection</t>
  </si>
  <si>
    <t>1 使用URL</t>
  </si>
  <si>
    <t>Java网络基础</t>
    <phoneticPr fontId="3" type="noConversion"/>
  </si>
  <si>
    <t>7 数组流</t>
  </si>
  <si>
    <t>6 打印流</t>
  </si>
  <si>
    <t>5 Process中的流技术</t>
  </si>
  <si>
    <t>4 回压流</t>
  </si>
  <si>
    <t>3 对象流</t>
  </si>
  <si>
    <t>2 数据流</t>
  </si>
  <si>
    <t>1 管道流</t>
  </si>
  <si>
    <t>输入/输出流--（2）</t>
    <phoneticPr fontId="3" type="noConversion"/>
  </si>
  <si>
    <t>6 RandomAccessFile类</t>
  </si>
  <si>
    <t>5 使用文件对话框打开和保存文件</t>
  </si>
  <si>
    <t>4 FileWriter类</t>
  </si>
  <si>
    <t>3 FileReader类</t>
  </si>
  <si>
    <t>2 FileOutputStream类</t>
  </si>
  <si>
    <t>1 FileInputStream类</t>
  </si>
  <si>
    <t>输入/输出流--（1）</t>
    <phoneticPr fontId="3" type="noConversion"/>
  </si>
  <si>
    <t>9 interrupt方法</t>
  </si>
  <si>
    <t>8 notifyall方法</t>
  </si>
  <si>
    <t>7 notify方法</t>
  </si>
  <si>
    <t>6 wait方法</t>
  </si>
  <si>
    <t>5 线程同步</t>
  </si>
  <si>
    <t>4 Thread类的sleep方法</t>
  </si>
  <si>
    <t>3 多线程</t>
  </si>
  <si>
    <t>2 线程类与Runnable接口</t>
  </si>
  <si>
    <t>1 线程</t>
  </si>
  <si>
    <t>多线程机制</t>
    <phoneticPr fontId="3" type="noConversion"/>
  </si>
  <si>
    <t>5 键盘事件</t>
  </si>
  <si>
    <t>4 鼠标画图</t>
  </si>
  <si>
    <t>3 鼠标的指针形状</t>
  </si>
  <si>
    <t>2 MouseMotionListener接口</t>
  </si>
  <si>
    <t>1 MouseListener接口</t>
  </si>
  <si>
    <t>鼠标事件与键盘事件</t>
    <phoneticPr fontId="3" type="noConversion"/>
  </si>
  <si>
    <t>5 Java2D</t>
  </si>
  <si>
    <t>4 打印图</t>
  </si>
  <si>
    <t>3 建立字体</t>
  </si>
  <si>
    <t>2 画图（串、字符、直线、矩形等）</t>
  </si>
  <si>
    <t>1 Java的坐标系统</t>
  </si>
  <si>
    <t>Java与图形</t>
    <phoneticPr fontId="3" type="noConversion"/>
  </si>
  <si>
    <t>5 自制对话框</t>
  </si>
  <si>
    <t>4 保存文件对话框</t>
  </si>
  <si>
    <t>3 打开文件对话框</t>
  </si>
  <si>
    <t>2 FileDialog类</t>
  </si>
  <si>
    <t>1 Dialog类</t>
  </si>
  <si>
    <t>对话框</t>
    <phoneticPr fontId="3" type="noConversion"/>
  </si>
  <si>
    <t>7 复制</t>
  </si>
  <si>
    <t>6 粘贴</t>
  </si>
  <si>
    <t>5 打印</t>
  </si>
  <si>
    <t>4 适配器</t>
  </si>
  <si>
    <t>3 处理菜单项上的事件</t>
  </si>
  <si>
    <t>2 向窗口增加菜单</t>
  </si>
  <si>
    <t>1 Java窗口</t>
  </si>
  <si>
    <t>窗口与菜单</t>
    <phoneticPr fontId="3" type="noConversion"/>
  </si>
  <si>
    <t>6 组件类的常用方法</t>
  </si>
  <si>
    <t>5 滚动列表</t>
  </si>
  <si>
    <t>4 处理选择控件的事件</t>
  </si>
  <si>
    <t>3 选择控件</t>
  </si>
  <si>
    <t>2 处理选择框事件</t>
  </si>
  <si>
    <t>1 选择框</t>
  </si>
  <si>
    <t>选择控件与滚动列表</t>
    <phoneticPr fontId="3" type="noConversion"/>
  </si>
  <si>
    <t>6 setBounds布局</t>
  </si>
  <si>
    <t>5 null布局</t>
  </si>
  <si>
    <t>4 GridLayout布局</t>
  </si>
  <si>
    <t>3 CardLayout布局</t>
  </si>
  <si>
    <t>2 BorderLayout布局</t>
  </si>
  <si>
    <t>1 FlowLayout布局</t>
  </si>
  <si>
    <t>布局设计</t>
    <phoneticPr fontId="3" type="noConversion"/>
  </si>
  <si>
    <t>4 使用画布</t>
  </si>
  <si>
    <t>3 创建画布</t>
  </si>
  <si>
    <t>2 使用面板</t>
  </si>
  <si>
    <t>1 创建面板</t>
  </si>
  <si>
    <t>面板与画布</t>
    <phoneticPr fontId="3" type="noConversion"/>
  </si>
  <si>
    <t>5 自制标签</t>
  </si>
  <si>
    <t>4 创建标签</t>
  </si>
  <si>
    <t>3 自制按钮</t>
  </si>
  <si>
    <t>2 按钮的ActionEvent事件</t>
  </si>
  <si>
    <t>1 创建按钮</t>
  </si>
  <si>
    <t>按钮与标签</t>
    <phoneticPr fontId="3" type="noConversion"/>
  </si>
  <si>
    <t>4 文本区的TextEvent事件</t>
  </si>
  <si>
    <t>3 创建文本区</t>
  </si>
  <si>
    <t>2 文本框的ActionEvent事件</t>
  </si>
  <si>
    <t>1 创建文本框</t>
  </si>
  <si>
    <t>文本框与文本区</t>
    <phoneticPr fontId="3" type="noConversion"/>
  </si>
  <si>
    <t>4 repaint方法</t>
  </si>
  <si>
    <t>3 小应用程序的生命周期</t>
  </si>
  <si>
    <t>2 向容器中添加组件</t>
  </si>
  <si>
    <t>1 组件与容器的概念</t>
  </si>
  <si>
    <t>AWT介绍和Applet运行原理</t>
    <phoneticPr fontId="3" type="noConversion"/>
  </si>
  <si>
    <t>5 字符串分解器</t>
  </si>
  <si>
    <t>4 字符串对象的创建与使用</t>
  </si>
  <si>
    <t>3 数组的排序</t>
  </si>
  <si>
    <t>2 创建数组</t>
  </si>
  <si>
    <t>1 声明数组</t>
  </si>
  <si>
    <t>数组与字符串</t>
    <phoneticPr fontId="3" type="noConversion"/>
  </si>
  <si>
    <t>5 接口体</t>
  </si>
  <si>
    <t>4 多态性接口的声明</t>
  </si>
  <si>
    <t>3 子类的上转对象</t>
  </si>
  <si>
    <t>2 super关键字</t>
  </si>
  <si>
    <t>1 子类的继承性</t>
  </si>
  <si>
    <t>继承与接口</t>
    <phoneticPr fontId="3" type="noConversion"/>
  </si>
  <si>
    <t>5 静态数据成员与实例数据成员</t>
  </si>
  <si>
    <t>4 对象的内存模型</t>
  </si>
  <si>
    <t>3 对象</t>
  </si>
  <si>
    <t>2 类体</t>
  </si>
  <si>
    <t>1 类声明</t>
  </si>
  <si>
    <t>类和对象</t>
    <phoneticPr fontId="3" type="noConversion"/>
  </si>
  <si>
    <t>6 import语句</t>
  </si>
  <si>
    <t>5 package语句</t>
    <phoneticPr fontId="3" type="noConversion"/>
  </si>
  <si>
    <t>4 控制语句与循环语句</t>
  </si>
  <si>
    <t>3 运算符与表达式</t>
  </si>
  <si>
    <t>2 基本数据类型</t>
  </si>
  <si>
    <t>1 标识符与关键字</t>
  </si>
  <si>
    <t>Java基本数据类型和语句</t>
    <phoneticPr fontId="3" type="noConversion"/>
  </si>
  <si>
    <t>5 JDK的安装与调试</t>
    <phoneticPr fontId="3" type="noConversion"/>
  </si>
  <si>
    <t>4 Java小应用程序</t>
    <phoneticPr fontId="3" type="noConversion"/>
  </si>
  <si>
    <t>3 Java应用程序</t>
  </si>
  <si>
    <t>2 Java程序开发过程</t>
  </si>
  <si>
    <t>1 Java特点</t>
  </si>
  <si>
    <t>Java语言入门</t>
    <phoneticPr fontId="3" type="noConversion"/>
  </si>
  <si>
    <t>完成时间：2003-3-28            授课教师：耿祥义</t>
    <phoneticPr fontId="3" type="noConversion"/>
  </si>
  <si>
    <t>Java</t>
    <phoneticPr fontId="3" type="noConversion"/>
  </si>
  <si>
    <t xml:space="preserve">完成时间：            </t>
    <phoneticPr fontId="3" type="noConversion"/>
  </si>
  <si>
    <t xml:space="preserve"> 授课教师：</t>
    <phoneticPr fontId="2"/>
  </si>
  <si>
    <t>Send and receive BMS maps</t>
  </si>
  <si>
    <t>Respond to normal and exception conditions from CICS commands</t>
  </si>
  <si>
    <t>Access and modify VASM files,DB2 databases,temporary storage,and transient data queues</t>
  </si>
  <si>
    <t>Prepare programs and run tests</t>
  </si>
  <si>
    <t>Pass and receive control to and from other program modules</t>
  </si>
  <si>
    <t>Code CICS conmmand</t>
  </si>
  <si>
    <t>Discuss the purpose of the CICS Clients</t>
  </si>
  <si>
    <t>Design application with presentation logic separated from business logic</t>
  </si>
  <si>
    <t>Design and develop application programs for CICS environments</t>
  </si>
  <si>
    <t>CICS Application Programming</t>
  </si>
  <si>
    <t>CICS</t>
  </si>
  <si>
    <t>PL/SQL基本语法，游标，异常</t>
  </si>
  <si>
    <t>常用函数、统计函数、Group/Having</t>
  </si>
  <si>
    <t>事务处理（Transaction)、关联/外关联，联合</t>
  </si>
  <si>
    <t>嵌套查询、子查询</t>
  </si>
  <si>
    <t>SQL语言（SELECT/INSERT/UPDATE/DELETE)</t>
  </si>
  <si>
    <t>SQL语言详细</t>
  </si>
  <si>
    <t>数据类型、表格、主键、外键</t>
  </si>
  <si>
    <t>数据库的基本概念、存储模式</t>
  </si>
  <si>
    <t>数据库系统简介</t>
  </si>
  <si>
    <t>DB2</t>
  </si>
  <si>
    <t>Designing Programs</t>
  </si>
  <si>
    <t>Code basic COBOL statements using proper syntax and coding rules</t>
  </si>
  <si>
    <t>Sections,paragraphs,sentences and statements</t>
  </si>
  <si>
    <t>The four divisions</t>
  </si>
  <si>
    <t xml:space="preserve">Fundamental of COBOL programming </t>
  </si>
  <si>
    <t>COBOL</t>
  </si>
  <si>
    <t>COBOL design goals</t>
    <phoneticPr fontId="3" type="noConversion"/>
  </si>
  <si>
    <t>AMS实用程序</t>
  </si>
  <si>
    <t>VSAM的物理结构与逻辑结构</t>
  </si>
  <si>
    <t>数据集的比较</t>
  </si>
  <si>
    <t>VSAM数据集</t>
  </si>
  <si>
    <t>VSAM的数据组织</t>
  </si>
  <si>
    <t>VSAM基本概念</t>
  </si>
  <si>
    <t>VASM</t>
  </si>
  <si>
    <t>Use selected utility programs</t>
  </si>
  <si>
    <t>Code procedure overrides and modifications</t>
  </si>
  <si>
    <t>Use symbolic parameters in procedures</t>
  </si>
  <si>
    <t>Code in-stream and cateloged procedures</t>
  </si>
  <si>
    <t>Identify storage management subsystem requirements</t>
  </si>
  <si>
    <t>Code basic JCL statements using proper syntax and coding rules</t>
  </si>
  <si>
    <t>OS/390 JCL and Utilities</t>
  </si>
  <si>
    <t>JCL</t>
  </si>
  <si>
    <t>ISPF/PDF</t>
  </si>
  <si>
    <t>TSO OPERATION</t>
  </si>
  <si>
    <t xml:space="preserve">TSO运行环境（与MVS,ISPF之间的关系）  </t>
  </si>
  <si>
    <t xml:space="preserve">TSO(Time Sharing Option)概要  </t>
  </si>
  <si>
    <t>Fundamental System Skills of OS/390 and Z/OS</t>
  </si>
  <si>
    <t>OS390</t>
  </si>
  <si>
    <t>教学知识点</t>
  </si>
  <si>
    <t>课程内容</t>
  </si>
  <si>
    <t>分类</t>
  </si>
  <si>
    <t>大型机课程计划</t>
  </si>
  <si>
    <t>课程名称</t>
    <phoneticPr fontId="2"/>
  </si>
  <si>
    <t>难度</t>
    <phoneticPr fontId="2"/>
  </si>
  <si>
    <t>Structure of COBOL programs</t>
    <phoneticPr fontId="2"/>
  </si>
  <si>
    <t>序号</t>
    <phoneticPr fontId="2"/>
  </si>
  <si>
    <t>课程总课时</t>
    <phoneticPr fontId="2"/>
  </si>
  <si>
    <r>
      <t>已分配</t>
    </r>
    <r>
      <rPr>
        <sz val="11"/>
        <color indexed="8"/>
        <rFont val="宋体"/>
        <family val="3"/>
        <charset val="134"/>
      </rPr>
      <t>课时</t>
    </r>
    <phoneticPr fontId="2"/>
  </si>
  <si>
    <t>简单</t>
  </si>
  <si>
    <t>中等</t>
  </si>
  <si>
    <t>中等</t>
    <phoneticPr fontId="2"/>
  </si>
  <si>
    <t>实践：九九乘法表</t>
    <phoneticPr fontId="2"/>
  </si>
  <si>
    <t>备注</t>
    <phoneticPr fontId="2"/>
  </si>
  <si>
    <r>
      <t>实</t>
    </r>
    <r>
      <rPr>
        <sz val="11"/>
        <color indexed="8"/>
        <rFont val="宋体"/>
        <family val="3"/>
        <charset val="134"/>
      </rPr>
      <t>践：九九乘法表</t>
    </r>
    <phoneticPr fontId="2"/>
  </si>
  <si>
    <t>稍难</t>
  </si>
  <si>
    <t>计划课时</t>
    <phoneticPr fontId="2"/>
  </si>
  <si>
    <t>实践：顺序文件操作</t>
    <phoneticPr fontId="2"/>
  </si>
  <si>
    <t>实践：索引文件操作</t>
    <phoneticPr fontId="2"/>
  </si>
  <si>
    <t>实践：相对文件操作</t>
    <phoneticPr fontId="2"/>
  </si>
  <si>
    <t>难</t>
  </si>
  <si>
    <t>编译器设置与使用</t>
    <phoneticPr fontId="2"/>
  </si>
  <si>
    <t>基本概念</t>
    <phoneticPr fontId="2"/>
  </si>
  <si>
    <r>
      <t>数据定</t>
    </r>
    <r>
      <rPr>
        <sz val="11"/>
        <color indexed="8"/>
        <rFont val="宋体"/>
        <family val="3"/>
        <charset val="134"/>
      </rPr>
      <t>义</t>
    </r>
    <phoneticPr fontId="2"/>
  </si>
  <si>
    <r>
      <t>字符串</t>
    </r>
    <r>
      <rPr>
        <sz val="11"/>
        <color indexed="8"/>
        <rFont val="宋体"/>
        <family val="3"/>
        <charset val="134"/>
      </rPr>
      <t>处</t>
    </r>
    <r>
      <rPr>
        <sz val="11"/>
        <color indexed="8"/>
        <rFont val="宋体"/>
        <family val="3"/>
        <charset val="134"/>
      </rPr>
      <t>理</t>
    </r>
    <phoneticPr fontId="2"/>
  </si>
  <si>
    <r>
      <rPr>
        <sz val="11"/>
        <color indexed="8"/>
        <rFont val="宋体"/>
        <family val="3"/>
        <charset val="134"/>
      </rPr>
      <t>逻辑语</t>
    </r>
    <r>
      <rPr>
        <sz val="11"/>
        <color indexed="8"/>
        <rFont val="宋体"/>
        <family val="3"/>
        <charset val="134"/>
      </rPr>
      <t>句</t>
    </r>
    <r>
      <rPr>
        <sz val="11"/>
        <color indexed="8"/>
        <rFont val="宋体"/>
        <family val="3"/>
        <charset val="134"/>
      </rPr>
      <t>进阶</t>
    </r>
    <phoneticPr fontId="2"/>
  </si>
  <si>
    <r>
      <t>表与</t>
    </r>
    <r>
      <rPr>
        <sz val="11"/>
        <color indexed="8"/>
        <rFont val="宋体"/>
        <family val="3"/>
        <charset val="134"/>
      </rPr>
      <t>检</t>
    </r>
    <r>
      <rPr>
        <sz val="11"/>
        <color indexed="8"/>
        <rFont val="宋体"/>
        <family val="3"/>
        <charset val="134"/>
      </rPr>
      <t>索</t>
    </r>
    <phoneticPr fontId="2"/>
  </si>
  <si>
    <r>
      <t>过</t>
    </r>
    <r>
      <rPr>
        <sz val="11"/>
        <color indexed="8"/>
        <rFont val="宋体"/>
        <family val="3"/>
        <charset val="134"/>
      </rPr>
      <t>程</t>
    </r>
    <phoneticPr fontId="2"/>
  </si>
  <si>
    <r>
      <t>文件基</t>
    </r>
    <r>
      <rPr>
        <sz val="11"/>
        <color indexed="8"/>
        <rFont val="宋体"/>
        <family val="3"/>
        <charset val="134"/>
      </rPr>
      <t>础</t>
    </r>
    <phoneticPr fontId="2"/>
  </si>
  <si>
    <t>排序</t>
    <phoneticPr fontId="2"/>
  </si>
  <si>
    <t>合并</t>
    <phoneticPr fontId="2"/>
  </si>
  <si>
    <t>内部函数概述</t>
    <phoneticPr fontId="2"/>
  </si>
  <si>
    <t>PL/I概述</t>
    <phoneticPr fontId="2"/>
  </si>
  <si>
    <r>
      <t>PL/I</t>
    </r>
    <r>
      <rPr>
        <sz val="11"/>
        <color indexed="8"/>
        <rFont val="宋体"/>
        <family val="3"/>
        <charset val="134"/>
      </rPr>
      <t>逻辑语句</t>
    </r>
    <phoneticPr fontId="2"/>
  </si>
  <si>
    <t>PL/I文件操作</t>
    <phoneticPr fontId="2"/>
  </si>
  <si>
    <t>实践：文件操作</t>
    <phoneticPr fontId="2"/>
  </si>
  <si>
    <t>差</t>
    <phoneticPr fontId="2"/>
  </si>
  <si>
    <r>
      <t>PC版</t>
    </r>
    <r>
      <rPr>
        <b/>
        <sz val="11"/>
        <color indexed="8"/>
        <rFont val="宋体"/>
        <family val="3"/>
        <charset val="134"/>
      </rPr>
      <t>编译</t>
    </r>
    <r>
      <rPr>
        <b/>
        <sz val="11"/>
        <color indexed="8"/>
        <rFont val="宋体"/>
        <family val="3"/>
        <charset val="134"/>
      </rPr>
      <t>器，P4以上CPU，2G内存，硬</t>
    </r>
    <r>
      <rPr>
        <b/>
        <sz val="11"/>
        <color indexed="8"/>
        <rFont val="宋体"/>
        <family val="3"/>
        <charset val="134"/>
      </rPr>
      <t>盘</t>
    </r>
    <r>
      <rPr>
        <b/>
        <sz val="11"/>
        <color indexed="8"/>
        <rFont val="宋体"/>
        <family val="3"/>
        <charset val="134"/>
      </rPr>
      <t>80G以上可用空</t>
    </r>
    <r>
      <rPr>
        <b/>
        <sz val="11"/>
        <color indexed="8"/>
        <rFont val="宋体"/>
        <family val="3"/>
        <charset val="134"/>
      </rPr>
      <t>间</t>
    </r>
    <phoneticPr fontId="2"/>
  </si>
  <si>
    <r>
      <t>PC版</t>
    </r>
    <r>
      <rPr>
        <b/>
        <sz val="11"/>
        <color indexed="8"/>
        <rFont val="宋体"/>
        <family val="3"/>
        <charset val="134"/>
      </rPr>
      <t>数据库</t>
    </r>
    <r>
      <rPr>
        <b/>
        <sz val="11"/>
        <color indexed="8"/>
        <rFont val="宋体"/>
        <family val="3"/>
        <charset val="134"/>
      </rPr>
      <t>，P4以上CPU，2G内存，硬</t>
    </r>
    <r>
      <rPr>
        <b/>
        <sz val="11"/>
        <color indexed="8"/>
        <rFont val="宋体"/>
        <family val="3"/>
        <charset val="134"/>
      </rPr>
      <t>盘</t>
    </r>
    <r>
      <rPr>
        <b/>
        <sz val="11"/>
        <color indexed="8"/>
        <rFont val="宋体"/>
        <family val="3"/>
        <charset val="134"/>
      </rPr>
      <t>80G以上可用空</t>
    </r>
    <r>
      <rPr>
        <b/>
        <sz val="11"/>
        <color indexed="8"/>
        <rFont val="宋体"/>
        <family val="3"/>
        <charset val="134"/>
      </rPr>
      <t>间</t>
    </r>
    <phoneticPr fontId="2"/>
  </si>
  <si>
    <t>实践：基本语句练习</t>
    <phoneticPr fontId="2"/>
  </si>
  <si>
    <t>实践：COBOL访问DB2</t>
    <phoneticPr fontId="2"/>
  </si>
  <si>
    <t>实践：</t>
    <phoneticPr fontId="2"/>
  </si>
  <si>
    <t>ISPF</t>
    <phoneticPr fontId="2"/>
  </si>
  <si>
    <t>QMF</t>
    <phoneticPr fontId="2"/>
  </si>
  <si>
    <r>
      <t>综</t>
    </r>
    <r>
      <rPr>
        <b/>
        <sz val="11"/>
        <color indexed="8"/>
        <rFont val="宋体"/>
        <family val="3"/>
        <charset val="134"/>
      </rPr>
      <t>合</t>
    </r>
    <r>
      <rPr>
        <b/>
        <sz val="11"/>
        <color indexed="8"/>
        <rFont val="宋体"/>
        <family val="3"/>
        <charset val="134"/>
      </rPr>
      <t>练习</t>
    </r>
    <phoneticPr fontId="2"/>
  </si>
  <si>
    <t>TSO概述</t>
    <phoneticPr fontId="2"/>
  </si>
  <si>
    <t>实践：COBOL编辑</t>
    <phoneticPr fontId="2"/>
  </si>
  <si>
    <t>实践：DB2表访问</t>
    <phoneticPr fontId="2"/>
  </si>
  <si>
    <t>JCL概述</t>
    <phoneticPr fontId="2"/>
  </si>
  <si>
    <t>CICS概述</t>
    <phoneticPr fontId="2"/>
  </si>
  <si>
    <t>综合实践：文件处理</t>
    <phoneticPr fontId="2"/>
  </si>
  <si>
    <t>使用表存储、过程</t>
    <phoneticPr fontId="2"/>
  </si>
  <si>
    <r>
      <t>读</t>
    </r>
    <r>
      <rPr>
        <sz val="11"/>
        <color indexed="8"/>
        <rFont val="宋体"/>
        <family val="3"/>
        <charset val="134"/>
      </rPr>
      <t>、写</t>
    </r>
    <phoneticPr fontId="2"/>
  </si>
  <si>
    <t>读、追加、更新、删除</t>
    <phoneticPr fontId="2"/>
  </si>
  <si>
    <t>事前准备</t>
    <phoneticPr fontId="2"/>
  </si>
  <si>
    <r>
      <t>zos确</t>
    </r>
    <r>
      <rPr>
        <b/>
        <sz val="11"/>
        <color indexed="8"/>
        <rFont val="宋体"/>
        <family val="3"/>
        <charset val="134"/>
      </rPr>
      <t>认</t>
    </r>
    <phoneticPr fontId="2"/>
  </si>
  <si>
    <r>
      <t>COBOL</t>
    </r>
    <r>
      <rPr>
        <sz val="11"/>
        <color indexed="8"/>
        <rFont val="宋体"/>
        <family val="3"/>
        <charset val="134"/>
      </rPr>
      <t>编译运行</t>
    </r>
    <phoneticPr fontId="2"/>
  </si>
  <si>
    <t>检索、插入、更新、删除</t>
    <phoneticPr fontId="2"/>
  </si>
  <si>
    <r>
      <t>计</t>
    </r>
    <r>
      <rPr>
        <sz val="11"/>
        <color indexed="8"/>
        <rFont val="宋体"/>
        <family val="3"/>
        <charset val="134"/>
      </rPr>
      <t>划</t>
    </r>
    <phoneticPr fontId="2"/>
  </si>
  <si>
    <t>实际</t>
    <phoneticPr fontId="2"/>
  </si>
  <si>
    <t>CASE</t>
    <phoneticPr fontId="2"/>
  </si>
  <si>
    <t>PAGE</t>
    <phoneticPr fontId="2"/>
  </si>
  <si>
    <t>输入输出语句</t>
    <phoneticPr fontId="2"/>
  </si>
  <si>
    <t>计算</t>
    <phoneticPr fontId="2"/>
  </si>
  <si>
    <t>逻辑判断</t>
    <phoneticPr fontId="2"/>
  </si>
  <si>
    <t>循环处理</t>
    <phoneticPr fontId="2"/>
  </si>
  <si>
    <t>子程序</t>
    <phoneticPr fontId="2"/>
  </si>
  <si>
    <t>表处理</t>
    <phoneticPr fontId="2"/>
  </si>
  <si>
    <r>
      <t>编译</t>
    </r>
    <r>
      <rPr>
        <sz val="11"/>
        <color indexed="8"/>
        <rFont val="宋体"/>
        <family val="3"/>
        <charset val="134"/>
      </rPr>
      <t>器使用方法，</t>
    </r>
    <r>
      <rPr>
        <sz val="11"/>
        <color theme="1"/>
        <rFont val="宋体"/>
        <family val="3"/>
        <charset val="134"/>
        <scheme val="minor"/>
      </rPr>
      <t>控制台</t>
    </r>
    <r>
      <rPr>
        <sz val="11"/>
        <color indexed="8"/>
        <rFont val="宋体"/>
        <family val="3"/>
        <charset val="134"/>
      </rPr>
      <t>输</t>
    </r>
    <r>
      <rPr>
        <sz val="11"/>
        <color theme="1"/>
        <rFont val="宋体"/>
        <family val="3"/>
        <charset val="134"/>
        <scheme val="minor"/>
      </rPr>
      <t>出，程序：九九乘法表
功能描述：</t>
    </r>
    <r>
      <rPr>
        <sz val="11"/>
        <color indexed="8"/>
        <rFont val="宋体"/>
        <family val="3"/>
        <charset val="134"/>
      </rPr>
      <t>实现结</t>
    </r>
    <r>
      <rPr>
        <sz val="11"/>
        <color theme="1"/>
        <rFont val="宋体"/>
        <family val="3"/>
        <charset val="134"/>
        <scheme val="minor"/>
      </rPr>
      <t>果如下</t>
    </r>
    <r>
      <rPr>
        <sz val="11"/>
        <color indexed="8"/>
        <rFont val="宋体"/>
        <family val="3"/>
        <charset val="134"/>
      </rPr>
      <t xml:space="preserve">图
</t>
    </r>
    <r>
      <rPr>
        <sz val="11"/>
        <color theme="1"/>
        <rFont val="宋体"/>
        <family val="3"/>
        <charset val="134"/>
        <scheme val="minor"/>
      </rPr>
      <t>1*1= 1
2*1= 2 2*2= 4
3*1= 3 3*2= 6 3*3= 9
4*1= 4 4*2= 8 4*3=12 4*4=16
略
第1本：用IF-Go to</t>
    </r>
    <r>
      <rPr>
        <sz val="11"/>
        <color indexed="8"/>
        <rFont val="宋体"/>
        <family val="3"/>
        <charset val="134"/>
      </rPr>
      <t xml:space="preserve">实现
</t>
    </r>
    <r>
      <rPr>
        <sz val="11"/>
        <color theme="1"/>
        <rFont val="宋体"/>
        <family val="3"/>
        <charset val="134"/>
        <scheme val="minor"/>
      </rPr>
      <t>第2本：用Perform times</t>
    </r>
    <r>
      <rPr>
        <sz val="11"/>
        <color indexed="8"/>
        <rFont val="宋体"/>
        <family val="3"/>
        <charset val="134"/>
      </rPr>
      <t xml:space="preserve">实现
</t>
    </r>
    <r>
      <rPr>
        <sz val="11"/>
        <color theme="1"/>
        <rFont val="宋体"/>
        <family val="3"/>
        <charset val="134"/>
        <scheme val="minor"/>
      </rPr>
      <t>第3本：用Perform Until</t>
    </r>
    <r>
      <rPr>
        <sz val="11"/>
        <color indexed="8"/>
        <rFont val="宋体"/>
        <family val="3"/>
        <charset val="134"/>
      </rPr>
      <t xml:space="preserve">实现
</t>
    </r>
    <r>
      <rPr>
        <sz val="11"/>
        <color theme="1"/>
        <rFont val="宋体"/>
        <family val="3"/>
        <charset val="134"/>
        <scheme val="minor"/>
      </rPr>
      <t>第4本：用有双循</t>
    </r>
    <r>
      <rPr>
        <sz val="11"/>
        <color indexed="8"/>
        <rFont val="宋体"/>
        <family val="3"/>
        <charset val="134"/>
      </rPr>
      <t>环变</t>
    </r>
    <r>
      <rPr>
        <sz val="11"/>
        <color theme="1"/>
        <rFont val="宋体"/>
        <family val="3"/>
        <charset val="134"/>
        <scheme val="minor"/>
      </rPr>
      <t>量的Perform</t>
    </r>
    <r>
      <rPr>
        <sz val="11"/>
        <color indexed="8"/>
        <rFont val="宋体"/>
        <family val="3"/>
        <charset val="134"/>
      </rPr>
      <t xml:space="preserve">实现
</t>
    </r>
    <r>
      <rPr>
        <sz val="11"/>
        <color theme="1"/>
        <rFont val="宋体"/>
        <family val="3"/>
        <charset val="134"/>
        <scheme val="minor"/>
      </rPr>
      <t>第5本：子程序
第6本：用表存</t>
    </r>
    <r>
      <rPr>
        <sz val="11"/>
        <color indexed="8"/>
        <rFont val="宋体"/>
        <family val="3"/>
        <charset val="134"/>
      </rPr>
      <t>储</t>
    </r>
    <r>
      <rPr>
        <sz val="11"/>
        <color theme="1"/>
        <rFont val="宋体"/>
        <family val="3"/>
        <charset val="134"/>
        <scheme val="minor"/>
      </rPr>
      <t>99表</t>
    </r>
    <phoneticPr fontId="2"/>
  </si>
  <si>
    <t>文件概念</t>
  </si>
  <si>
    <t>顺序文件</t>
  </si>
  <si>
    <t>索引文件</t>
  </si>
  <si>
    <t>相对文件</t>
  </si>
  <si>
    <t>匹配处理</t>
  </si>
  <si>
    <t>抽出处理</t>
    <phoneticPr fontId="2"/>
  </si>
  <si>
    <t>程序：2个文件数据匹配处理
功能描述：读顺序文件，然后检索索引文件，找到相应的记录，如数据库中有，则进行出力记录的编辑并输出，全部记录处理完毕后输出处理日志
处理请参照下图
文件各字段自行设计（字段不宜过长），入力索引文件自行写代码生成</t>
    <phoneticPr fontId="2"/>
  </si>
  <si>
    <t>连结数据库的方法（PC开发）</t>
  </si>
  <si>
    <t>SQL语句：查询、更新、插入、删除、确认与回滚处理</t>
  </si>
  <si>
    <t>游标定义、打开、读取、关闭</t>
  </si>
  <si>
    <t>遍历游标，更新DB练习</t>
  </si>
  <si>
    <t>*</t>
    <phoneticPr fontId="2"/>
  </si>
  <si>
    <t>UT基本概念</t>
  </si>
  <si>
    <t>UT设计书</t>
  </si>
  <si>
    <t>UT练习</t>
  </si>
  <si>
    <r>
      <t>Case设计</t>
    </r>
    <r>
      <rPr>
        <sz val="11"/>
        <color theme="1"/>
        <rFont val="宋体"/>
        <family val="3"/>
        <charset val="134"/>
        <scheme val="minor"/>
      </rPr>
      <t>原</t>
    </r>
    <r>
      <rPr>
        <sz val="11"/>
        <color indexed="8"/>
        <rFont val="宋体"/>
        <family val="3"/>
        <charset val="134"/>
      </rPr>
      <t>则</t>
    </r>
    <r>
      <rPr>
        <sz val="11"/>
        <color theme="1"/>
        <rFont val="宋体"/>
        <family val="3"/>
        <charset val="134"/>
        <scheme val="minor"/>
      </rPr>
      <t>与方法</t>
    </r>
  </si>
  <si>
    <r>
      <t>结</t>
    </r>
    <r>
      <rPr>
        <sz val="11"/>
        <color theme="1"/>
        <rFont val="宋体"/>
        <family val="3"/>
        <charset val="134"/>
        <scheme val="minor"/>
      </rPr>
      <t>果</t>
    </r>
    <r>
      <rPr>
        <sz val="11"/>
        <color indexed="8"/>
        <rFont val="宋体"/>
        <family val="3"/>
        <charset val="134"/>
      </rPr>
      <t>检证</t>
    </r>
  </si>
  <si>
    <t>姓名</t>
    <phoneticPr fontId="2"/>
  </si>
  <si>
    <t>C</t>
    <phoneticPr fontId="2"/>
  </si>
  <si>
    <t>Java</t>
    <phoneticPr fontId="2"/>
  </si>
  <si>
    <t>程序设计语言</t>
    <phoneticPr fontId="2"/>
  </si>
  <si>
    <t>其他</t>
    <phoneticPr fontId="2"/>
  </si>
  <si>
    <t>数据库原理</t>
    <phoneticPr fontId="2"/>
  </si>
  <si>
    <t>数据结构</t>
    <phoneticPr fontId="2"/>
  </si>
  <si>
    <t>软考认证</t>
    <phoneticPr fontId="2"/>
  </si>
  <si>
    <t>程序员</t>
    <phoneticPr fontId="2"/>
  </si>
  <si>
    <t>软件设计师</t>
    <phoneticPr fontId="2"/>
  </si>
  <si>
    <t>数据库</t>
    <phoneticPr fontId="2"/>
  </si>
  <si>
    <t>备注</t>
    <phoneticPr fontId="2"/>
  </si>
  <si>
    <t>程序设计语言</t>
    <phoneticPr fontId="2"/>
  </si>
  <si>
    <t>程序设计语言之Cobol</t>
    <phoneticPr fontId="2"/>
  </si>
  <si>
    <t>程序设计语言之PL/I</t>
    <phoneticPr fontId="2"/>
  </si>
  <si>
    <t>数据库（DB2）</t>
    <phoneticPr fontId="2"/>
  </si>
  <si>
    <t>SQL变量的定义</t>
    <phoneticPr fontId="2"/>
  </si>
  <si>
    <t>数据库基本概念</t>
    <phoneticPr fontId="2"/>
  </si>
  <si>
    <t>基本SQL</t>
    <phoneticPr fontId="2"/>
  </si>
  <si>
    <t>数据对象</t>
    <phoneticPr fontId="2"/>
  </si>
  <si>
    <t>存储过程及触发器</t>
    <phoneticPr fontId="2"/>
  </si>
  <si>
    <t>数据库原理相关知识</t>
    <phoneticPr fontId="2"/>
  </si>
  <si>
    <t>Testing相关</t>
    <phoneticPr fontId="2"/>
  </si>
  <si>
    <t>大型机基本操作</t>
    <phoneticPr fontId="2"/>
  </si>
  <si>
    <t>作业控制语言</t>
    <phoneticPr fontId="2"/>
  </si>
  <si>
    <t>客户联机控制系统</t>
    <phoneticPr fontId="2"/>
  </si>
  <si>
    <r>
      <t>需求定</t>
    </r>
    <r>
      <rPr>
        <b/>
        <sz val="11"/>
        <color indexed="8"/>
        <rFont val="宋体"/>
        <family val="3"/>
        <charset val="134"/>
      </rPr>
      <t>义</t>
    </r>
    <r>
      <rPr>
        <b/>
        <sz val="11"/>
        <color indexed="8"/>
        <rFont val="宋体"/>
        <family val="3"/>
        <charset val="134"/>
      </rPr>
      <t>、模</t>
    </r>
    <r>
      <rPr>
        <b/>
        <sz val="11"/>
        <color indexed="8"/>
        <rFont val="宋体"/>
        <family val="3"/>
        <charset val="134"/>
      </rPr>
      <t>块</t>
    </r>
    <r>
      <rPr>
        <b/>
        <sz val="11"/>
        <color indexed="8"/>
        <rFont val="宋体"/>
        <family val="3"/>
        <charset val="134"/>
      </rPr>
      <t>分拆，数据定</t>
    </r>
    <r>
      <rPr>
        <b/>
        <sz val="11"/>
        <color indexed="8"/>
        <rFont val="宋体"/>
        <family val="3"/>
        <charset val="134"/>
      </rPr>
      <t>义，顺</t>
    </r>
    <r>
      <rPr>
        <b/>
        <sz val="11"/>
        <color indexed="8"/>
        <rFont val="宋体"/>
        <family val="3"/>
        <charset val="134"/>
      </rPr>
      <t>序文件</t>
    </r>
    <r>
      <rPr>
        <b/>
        <sz val="11"/>
        <color indexed="8"/>
        <rFont val="宋体"/>
        <family val="3"/>
        <charset val="134"/>
      </rPr>
      <t>读</t>
    </r>
    <r>
      <rPr>
        <b/>
        <sz val="11"/>
        <color indexed="8"/>
        <rFont val="宋体"/>
        <family val="3"/>
        <charset val="134"/>
      </rPr>
      <t>写、索引文件</t>
    </r>
    <r>
      <rPr>
        <b/>
        <sz val="11"/>
        <color indexed="8"/>
        <rFont val="宋体"/>
        <family val="3"/>
        <charset val="134"/>
      </rPr>
      <t>读写、DB2插入、检索、更新、删除，DAO设计</t>
    </r>
    <phoneticPr fontId="2"/>
  </si>
  <si>
    <t>诚信原则</t>
    <phoneticPr fontId="17" type="noConversion"/>
  </si>
  <si>
    <t>课程内容介绍及授课方法调查</t>
    <phoneticPr fontId="17" type="noConversion"/>
  </si>
  <si>
    <t>待办事项</t>
    <phoneticPr fontId="17" type="noConversion"/>
  </si>
  <si>
    <t>追加日期</t>
    <phoneticPr fontId="17" type="noConversion"/>
  </si>
  <si>
    <t>教学大纲</t>
    <phoneticPr fontId="17" type="noConversion"/>
  </si>
  <si>
    <t>实验大纲</t>
    <phoneticPr fontId="17" type="noConversion"/>
  </si>
  <si>
    <t>教学进度表</t>
    <phoneticPr fontId="17" type="noConversion"/>
  </si>
  <si>
    <t>执行进度表</t>
    <phoneticPr fontId="17" type="noConversion"/>
  </si>
  <si>
    <t>试卷二份及评分标准</t>
    <phoneticPr fontId="17" type="noConversion"/>
  </si>
  <si>
    <t>成绩核定方法介绍</t>
    <phoneticPr fontId="17" type="noConversion"/>
  </si>
  <si>
    <t>课程教学小结</t>
    <phoneticPr fontId="17" type="noConversion"/>
  </si>
  <si>
    <t>姓名</t>
    <phoneticPr fontId="17" type="noConversion"/>
  </si>
  <si>
    <t>事项</t>
    <phoneticPr fontId="17" type="noConversion"/>
  </si>
  <si>
    <t>课程名</t>
    <phoneticPr fontId="17" type="noConversion"/>
  </si>
  <si>
    <t>日期</t>
    <phoneticPr fontId="17" type="noConversion"/>
  </si>
  <si>
    <t>学习方法</t>
    <phoneticPr fontId="17" type="noConversion"/>
  </si>
  <si>
    <t>领书</t>
    <phoneticPr fontId="17" type="noConversion"/>
  </si>
  <si>
    <t>礼仪</t>
    <phoneticPr fontId="17" type="noConversion"/>
  </si>
  <si>
    <t>星期一</t>
    <phoneticPr fontId="17" type="noConversion"/>
  </si>
  <si>
    <t>星期二</t>
  </si>
  <si>
    <t>星期三</t>
  </si>
  <si>
    <t>星期四</t>
  </si>
  <si>
    <t>星期五</t>
  </si>
  <si>
    <t>星期六</t>
  </si>
  <si>
    <t>星期日</t>
  </si>
  <si>
    <t>第5周</t>
  </si>
  <si>
    <t>第6周</t>
  </si>
  <si>
    <t>第7周</t>
  </si>
  <si>
    <t>第8周</t>
  </si>
  <si>
    <t>第9周</t>
  </si>
  <si>
    <t>第10周</t>
  </si>
  <si>
    <t>第11周</t>
  </si>
  <si>
    <t>第12周</t>
  </si>
  <si>
    <t>第13周</t>
  </si>
  <si>
    <t>第14周</t>
  </si>
  <si>
    <t>第15周</t>
  </si>
  <si>
    <t>第16周</t>
  </si>
  <si>
    <t>第17周</t>
  </si>
  <si>
    <t>第4周</t>
    <phoneticPr fontId="17" type="noConversion"/>
  </si>
  <si>
    <t>记事用白纸10张</t>
    <phoneticPr fontId="17" type="noConversion"/>
  </si>
  <si>
    <t>SDSF</t>
    <phoneticPr fontId="2"/>
  </si>
  <si>
    <t>实施日期</t>
    <phoneticPr fontId="2"/>
  </si>
  <si>
    <t>○</t>
    <phoneticPr fontId="2"/>
  </si>
  <si>
    <t>性别</t>
    <phoneticPr fontId="2"/>
  </si>
  <si>
    <t>女</t>
  </si>
  <si>
    <t>女</t>
    <phoneticPr fontId="2"/>
  </si>
  <si>
    <t>学校</t>
    <phoneticPr fontId="2"/>
  </si>
  <si>
    <t>淮阴工学院</t>
    <phoneticPr fontId="2"/>
  </si>
  <si>
    <t>常磊</t>
    <phoneticPr fontId="2"/>
  </si>
  <si>
    <t>男</t>
  </si>
  <si>
    <t>男</t>
    <phoneticPr fontId="2"/>
  </si>
  <si>
    <t>徐州工程学院</t>
    <phoneticPr fontId="2"/>
  </si>
  <si>
    <t>常熟理工学院</t>
    <phoneticPr fontId="2"/>
  </si>
  <si>
    <t>陈诚</t>
    <phoneticPr fontId="2"/>
  </si>
  <si>
    <t>陈华华</t>
    <phoneticPr fontId="2"/>
  </si>
  <si>
    <t>陈吉</t>
    <phoneticPr fontId="2"/>
  </si>
  <si>
    <t>陈健</t>
    <phoneticPr fontId="2"/>
  </si>
  <si>
    <t>陈林琳</t>
    <phoneticPr fontId="2"/>
  </si>
  <si>
    <t>陈扬</t>
    <phoneticPr fontId="2"/>
  </si>
  <si>
    <t>崔从胜</t>
    <phoneticPr fontId="2"/>
  </si>
  <si>
    <t>单军华</t>
    <phoneticPr fontId="2"/>
  </si>
  <si>
    <t>董鑫</t>
    <phoneticPr fontId="2"/>
  </si>
  <si>
    <t>葛建飞</t>
    <phoneticPr fontId="2"/>
  </si>
  <si>
    <t>顾靖琪</t>
    <phoneticPr fontId="2"/>
  </si>
  <si>
    <t>顾一帆</t>
    <phoneticPr fontId="2"/>
  </si>
  <si>
    <t>郭士焦</t>
    <phoneticPr fontId="2"/>
  </si>
  <si>
    <t>黄超</t>
    <phoneticPr fontId="2"/>
  </si>
  <si>
    <t>黄海宇</t>
    <phoneticPr fontId="2"/>
  </si>
  <si>
    <t>黄平</t>
    <phoneticPr fontId="2"/>
  </si>
  <si>
    <t>蒋猛</t>
    <phoneticPr fontId="2"/>
  </si>
  <si>
    <t>金龙</t>
    <phoneticPr fontId="2"/>
  </si>
  <si>
    <t>金晓灵</t>
    <phoneticPr fontId="2"/>
  </si>
  <si>
    <t>李长龙</t>
    <phoneticPr fontId="2"/>
  </si>
  <si>
    <t>李辉</t>
    <phoneticPr fontId="2"/>
  </si>
  <si>
    <t>李建雨</t>
    <phoneticPr fontId="2"/>
  </si>
  <si>
    <t>李延飞</t>
    <phoneticPr fontId="2"/>
  </si>
  <si>
    <t>刘燃峰</t>
    <phoneticPr fontId="2"/>
  </si>
  <si>
    <t>刘涛</t>
    <phoneticPr fontId="2"/>
  </si>
  <si>
    <t>卢枫</t>
    <phoneticPr fontId="2"/>
  </si>
  <si>
    <t>陆巍</t>
    <phoneticPr fontId="2"/>
  </si>
  <si>
    <t>孟海波</t>
    <phoneticPr fontId="2"/>
  </si>
  <si>
    <t>秦超</t>
    <phoneticPr fontId="2"/>
  </si>
  <si>
    <t>秦吉伟</t>
    <phoneticPr fontId="2"/>
  </si>
  <si>
    <t>邵玉烽</t>
    <phoneticPr fontId="2"/>
  </si>
  <si>
    <t>沈凯</t>
    <phoneticPr fontId="2"/>
  </si>
  <si>
    <t>宋晨</t>
    <phoneticPr fontId="2"/>
  </si>
  <si>
    <t>孙栋栋</t>
    <phoneticPr fontId="2"/>
  </si>
  <si>
    <t>唐小虎</t>
    <phoneticPr fontId="2"/>
  </si>
  <si>
    <t>王晓亮</t>
    <phoneticPr fontId="2"/>
  </si>
  <si>
    <t>王兴东</t>
    <phoneticPr fontId="2"/>
  </si>
  <si>
    <t>吴长秋</t>
    <phoneticPr fontId="2"/>
  </si>
  <si>
    <t>谢伟</t>
    <phoneticPr fontId="2"/>
  </si>
  <si>
    <t>严晓黎</t>
    <phoneticPr fontId="2"/>
  </si>
  <si>
    <t>杨海波</t>
    <phoneticPr fontId="2"/>
  </si>
  <si>
    <t>杨佳佳</t>
    <phoneticPr fontId="2"/>
  </si>
  <si>
    <t>杨捷</t>
    <phoneticPr fontId="2"/>
  </si>
  <si>
    <t>于军</t>
    <phoneticPr fontId="2"/>
  </si>
  <si>
    <t>袁鑫</t>
    <phoneticPr fontId="2"/>
  </si>
  <si>
    <t>张洁</t>
    <phoneticPr fontId="2"/>
  </si>
  <si>
    <t>赵燕</t>
    <phoneticPr fontId="2"/>
  </si>
  <si>
    <t>周俊</t>
    <phoneticPr fontId="2"/>
  </si>
  <si>
    <t>周萍萍</t>
    <phoneticPr fontId="2"/>
  </si>
  <si>
    <t>朱亚斌</t>
    <phoneticPr fontId="2"/>
  </si>
  <si>
    <t>朱振飞</t>
    <phoneticPr fontId="2"/>
  </si>
  <si>
    <t>左仁成</t>
    <phoneticPr fontId="2"/>
  </si>
  <si>
    <t>庄胜</t>
    <phoneticPr fontId="2"/>
  </si>
  <si>
    <t>钱青龙</t>
    <phoneticPr fontId="2"/>
  </si>
  <si>
    <t>vb</t>
    <phoneticPr fontId="2"/>
  </si>
  <si>
    <t>杲俊</t>
    <phoneticPr fontId="2"/>
  </si>
  <si>
    <t>C#</t>
    <phoneticPr fontId="2"/>
  </si>
  <si>
    <t>网络工程师</t>
    <phoneticPr fontId="2"/>
  </si>
  <si>
    <t>vc++</t>
    <phoneticPr fontId="2"/>
  </si>
  <si>
    <t>吴郧杰</t>
    <phoneticPr fontId="2"/>
  </si>
  <si>
    <t>史佳丽</t>
    <phoneticPr fontId="2"/>
  </si>
  <si>
    <t>女</t>
    <phoneticPr fontId="2"/>
  </si>
  <si>
    <t xml:space="preserve"> 盐城师范学院</t>
    <phoneticPr fontId="2"/>
  </si>
  <si>
    <t>周玉婷</t>
    <phoneticPr fontId="2"/>
  </si>
  <si>
    <t>○</t>
    <phoneticPr fontId="2"/>
  </si>
  <si>
    <t>外语</t>
    <phoneticPr fontId="2"/>
  </si>
  <si>
    <t>日语</t>
    <phoneticPr fontId="2"/>
  </si>
  <si>
    <t>英语</t>
    <phoneticPr fontId="2"/>
  </si>
  <si>
    <t>学号</t>
    <phoneticPr fontId="2"/>
  </si>
  <si>
    <t>结果</t>
    <phoneticPr fontId="17" type="noConversion"/>
  </si>
  <si>
    <t>实施日期</t>
    <phoneticPr fontId="17" type="noConversion"/>
  </si>
  <si>
    <t xml:space="preserve">基本知识准备
熟练应用虚拟机软件（个人自学）
</t>
    <phoneticPr fontId="17" type="noConversion"/>
  </si>
  <si>
    <t>计划日期</t>
    <phoneticPr fontId="2"/>
  </si>
  <si>
    <t>数据库访问程序设计之Cobol</t>
    <phoneticPr fontId="2"/>
  </si>
  <si>
    <t>学号</t>
    <phoneticPr fontId="17" type="noConversion"/>
  </si>
  <si>
    <r>
      <rPr>
        <b/>
        <sz val="11"/>
        <color indexed="8"/>
        <rFont val="宋体"/>
        <family val="3"/>
        <charset val="134"/>
      </rPr>
      <t>虚拟机准备</t>
    </r>
    <r>
      <rPr>
        <sz val="11"/>
        <color indexed="8"/>
        <rFont val="宋体"/>
        <family val="3"/>
        <charset val="134"/>
      </rPr>
      <t xml:space="preserve">
原始VM——windowsxp
富士通+Oracle
富士通+DB2
RD/z+DB2
Zos1.9
个人备份好各软件的安装包</t>
    </r>
    <phoneticPr fontId="17" type="noConversion"/>
  </si>
  <si>
    <r>
      <rPr>
        <b/>
        <sz val="11"/>
        <color indexed="8"/>
        <rFont val="宋体"/>
        <family val="3"/>
        <charset val="134"/>
      </rPr>
      <t>为便于个人练习，最好准备好笔记本计算机</t>
    </r>
    <r>
      <rPr>
        <sz val="11"/>
        <color indexed="8"/>
        <rFont val="宋体"/>
        <family val="3"/>
        <charset val="134"/>
      </rPr>
      <t xml:space="preserve">
内存最好2G以上
硬盘空间预留100G以上，方便做好学习进度备份</t>
    </r>
    <phoneticPr fontId="17" type="noConversion"/>
  </si>
  <si>
    <r>
      <rPr>
        <b/>
        <sz val="11"/>
        <color indexed="8"/>
        <rFont val="宋体"/>
        <family val="3"/>
        <charset val="134"/>
      </rPr>
      <t>上课签到</t>
    </r>
    <r>
      <rPr>
        <sz val="11"/>
        <color indexed="8"/>
        <rFont val="宋体"/>
        <family val="3"/>
        <charset val="134"/>
      </rPr>
      <t xml:space="preserve">
严禁替代</t>
    </r>
    <phoneticPr fontId="17" type="noConversion"/>
  </si>
  <si>
    <r>
      <rPr>
        <b/>
        <sz val="11"/>
        <color indexed="8"/>
        <rFont val="宋体"/>
        <family val="3"/>
        <charset val="134"/>
      </rPr>
      <t xml:space="preserve">班长二名（男女各一）女生：张洁 男生：待定
</t>
    </r>
    <r>
      <rPr>
        <sz val="11"/>
        <color indexed="8"/>
        <rFont val="宋体"/>
        <family val="3"/>
        <charset val="134"/>
      </rPr>
      <t xml:space="preserve">保证个人的学习质量，避免舍本逐末
协助管理班级的日常基本事务，及时传达各类信息和反馈班级动态
组织和管理班级的各项活动
分担：
签到或点名
班级日记
活动组织
</t>
    </r>
    <phoneticPr fontId="17" type="noConversion"/>
  </si>
  <si>
    <t>CS0305002</t>
    <phoneticPr fontId="2"/>
  </si>
  <si>
    <t>CS0304001</t>
    <phoneticPr fontId="2"/>
  </si>
  <si>
    <t>CS0301004</t>
    <phoneticPr fontId="2"/>
  </si>
  <si>
    <t>CS0301005</t>
  </si>
  <si>
    <t>CS0305004</t>
    <phoneticPr fontId="2"/>
  </si>
  <si>
    <t>CS0301008</t>
    <phoneticPr fontId="2"/>
  </si>
  <si>
    <t>CS0305005</t>
    <phoneticPr fontId="2"/>
  </si>
  <si>
    <t>CS0301011</t>
    <phoneticPr fontId="2"/>
  </si>
  <si>
    <t>CS0304004</t>
    <phoneticPr fontId="2"/>
  </si>
  <si>
    <t>CS0304005</t>
    <phoneticPr fontId="2"/>
  </si>
  <si>
    <t>CS0304009</t>
    <phoneticPr fontId="2"/>
  </si>
  <si>
    <t>CS0305010</t>
    <phoneticPr fontId="2"/>
  </si>
  <si>
    <t>CS0304008</t>
    <phoneticPr fontId="2"/>
  </si>
  <si>
    <t>CS0301027</t>
    <phoneticPr fontId="2"/>
  </si>
  <si>
    <t>CS0301029</t>
    <phoneticPr fontId="2"/>
  </si>
  <si>
    <t>CS0301031</t>
    <phoneticPr fontId="2"/>
  </si>
  <si>
    <t>CS0301036</t>
    <phoneticPr fontId="2"/>
  </si>
  <si>
    <t>CS0304014</t>
    <phoneticPr fontId="2"/>
  </si>
  <si>
    <t>CS0304015</t>
  </si>
  <si>
    <t>CS0304018</t>
    <phoneticPr fontId="2"/>
  </si>
  <si>
    <t>CS0304012</t>
    <phoneticPr fontId="2"/>
  </si>
  <si>
    <t>CS0301042</t>
    <phoneticPr fontId="2"/>
  </si>
  <si>
    <t>CS0301044</t>
    <phoneticPr fontId="2"/>
  </si>
  <si>
    <t>CS0302010</t>
    <phoneticPr fontId="2"/>
  </si>
  <si>
    <t>CS0304020</t>
    <phoneticPr fontId="2"/>
  </si>
  <si>
    <t>CS0301047</t>
    <phoneticPr fontId="2"/>
  </si>
  <si>
    <t>CS0305018</t>
    <phoneticPr fontId="2"/>
  </si>
  <si>
    <t>CS0302018</t>
    <phoneticPr fontId="2"/>
  </si>
  <si>
    <t>CS0301957</t>
    <phoneticPr fontId="2"/>
  </si>
  <si>
    <t>CS0305021</t>
    <phoneticPr fontId="2"/>
  </si>
  <si>
    <t>CS0302023</t>
    <phoneticPr fontId="2"/>
  </si>
  <si>
    <t>CS0301070</t>
    <phoneticPr fontId="2"/>
  </si>
  <si>
    <t>CS0302026</t>
    <phoneticPr fontId="2"/>
  </si>
  <si>
    <t>CS0301075</t>
    <phoneticPr fontId="2"/>
  </si>
  <si>
    <t>CS030</t>
  </si>
  <si>
    <t>CS0305027</t>
    <phoneticPr fontId="2"/>
  </si>
  <si>
    <t>CS0302028</t>
    <phoneticPr fontId="2"/>
  </si>
  <si>
    <t>CS0304027</t>
    <phoneticPr fontId="2"/>
  </si>
  <si>
    <t>CS0301089</t>
    <phoneticPr fontId="2"/>
  </si>
  <si>
    <t>CS0301094</t>
    <phoneticPr fontId="2"/>
  </si>
  <si>
    <t>CS0304030</t>
    <phoneticPr fontId="2"/>
  </si>
  <si>
    <t>CS0304031</t>
    <phoneticPr fontId="2"/>
  </si>
  <si>
    <t>CS0305032</t>
    <phoneticPr fontId="2"/>
  </si>
  <si>
    <t>CS0301110</t>
    <phoneticPr fontId="2"/>
  </si>
  <si>
    <t>CS0302037</t>
    <phoneticPr fontId="2"/>
  </si>
  <si>
    <t>CS0305034</t>
    <phoneticPr fontId="2"/>
  </si>
  <si>
    <t>CS0301122</t>
    <phoneticPr fontId="2"/>
  </si>
  <si>
    <t>CS0305035</t>
    <phoneticPr fontId="2"/>
  </si>
  <si>
    <t>CS0301124</t>
    <phoneticPr fontId="2"/>
  </si>
  <si>
    <t>CS0305037</t>
    <phoneticPr fontId="2"/>
  </si>
  <si>
    <t>CS0301131</t>
    <phoneticPr fontId="2"/>
  </si>
  <si>
    <t>CS0305038</t>
    <phoneticPr fontId="2"/>
  </si>
  <si>
    <t>CS0305041</t>
    <phoneticPr fontId="2"/>
  </si>
  <si>
    <t>CS0301144</t>
    <phoneticPr fontId="2"/>
  </si>
  <si>
    <t>CS0305043</t>
    <phoneticPr fontId="2"/>
  </si>
  <si>
    <t>CS0304042</t>
    <phoneticPr fontId="2"/>
  </si>
  <si>
    <t>CS0301156</t>
    <phoneticPr fontId="2"/>
  </si>
  <si>
    <t>CS0302046</t>
    <phoneticPr fontId="2"/>
  </si>
  <si>
    <t>CS0301157</t>
    <phoneticPr fontId="2"/>
  </si>
  <si>
    <t>CS0301125</t>
    <phoneticPr fontId="2"/>
  </si>
  <si>
    <t>CS0309005</t>
    <phoneticPr fontId="2"/>
  </si>
  <si>
    <t>组长</t>
    <phoneticPr fontId="3" type="noConversion"/>
  </si>
  <si>
    <t>班长</t>
    <phoneticPr fontId="3" type="noConversion"/>
  </si>
  <si>
    <t>拆分小组（十个，每组六人，每组至少一个女生）
保证个人的学习质量，避免舍本逐末
解答组员学习中遇到的简单的问题，搜集整理并反馈组员学习中残存的疑难问题
协助班长管理好组员，及时传达各类信息和反馈小组动态
座位分配</t>
    <phoneticPr fontId="17" type="noConversion"/>
  </si>
  <si>
    <t>课程内容及进度说明</t>
    <phoneticPr fontId="17" type="noConversion"/>
  </si>
  <si>
    <t>教室内外、座位卫生</t>
    <phoneticPr fontId="17" type="noConversion"/>
  </si>
  <si>
    <t>礼仪，说话声音，楼道文明</t>
    <phoneticPr fontId="17" type="noConversion"/>
  </si>
  <si>
    <t>电话号码</t>
    <phoneticPr fontId="2"/>
  </si>
  <si>
    <t>QQ号码</t>
    <phoneticPr fontId="2"/>
  </si>
  <si>
    <t>职位</t>
    <phoneticPr fontId="2"/>
  </si>
  <si>
    <t>分组</t>
    <phoneticPr fontId="2"/>
  </si>
  <si>
    <t>面谈记录</t>
    <phoneticPr fontId="2"/>
  </si>
  <si>
    <t>确认晚自习机房使用可能性~9：00</t>
    <phoneticPr fontId="17" type="noConversion"/>
  </si>
  <si>
    <r>
      <t>个人谈话，每人1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indexed="8"/>
        <rFont val="宋体"/>
        <family val="3"/>
        <charset val="134"/>
      </rPr>
      <t>分钟，晚6：15~9：00</t>
    </r>
    <phoneticPr fontId="17" type="noConversion"/>
  </si>
  <si>
    <t>组长</t>
    <phoneticPr fontId="2"/>
  </si>
  <si>
    <t>座位表</t>
    <phoneticPr fontId="26" type="noConversion"/>
  </si>
  <si>
    <t>杨海波</t>
    <phoneticPr fontId="28"/>
  </si>
  <si>
    <t>唐小虎</t>
    <phoneticPr fontId="26" type="noConversion"/>
  </si>
  <si>
    <t>董鑫</t>
    <phoneticPr fontId="28"/>
  </si>
  <si>
    <t>孟海波</t>
    <phoneticPr fontId="28"/>
  </si>
  <si>
    <t>吴郧杰</t>
    <phoneticPr fontId="28"/>
  </si>
  <si>
    <t>陈林琳</t>
    <phoneticPr fontId="28"/>
  </si>
  <si>
    <t>杨捷</t>
    <phoneticPr fontId="28"/>
  </si>
  <si>
    <t>蒋猛</t>
    <phoneticPr fontId="28"/>
  </si>
  <si>
    <t>庄胜</t>
    <phoneticPr fontId="26" type="noConversion"/>
  </si>
  <si>
    <t>陈华华</t>
    <phoneticPr fontId="28"/>
  </si>
  <si>
    <t>卢枫</t>
    <phoneticPr fontId="28"/>
  </si>
  <si>
    <t>吴长秋</t>
    <phoneticPr fontId="26" type="noConversion"/>
  </si>
  <si>
    <t>黄超</t>
    <phoneticPr fontId="26" type="noConversion"/>
  </si>
  <si>
    <t>黄海宇</t>
    <phoneticPr fontId="26" type="noConversion"/>
  </si>
  <si>
    <t>周玉婷</t>
    <phoneticPr fontId="26" type="noConversion"/>
  </si>
  <si>
    <t>崔从胜</t>
    <phoneticPr fontId="26" type="noConversion"/>
  </si>
  <si>
    <t>曹跃萍</t>
    <phoneticPr fontId="28"/>
  </si>
  <si>
    <t>张洁</t>
    <phoneticPr fontId="28"/>
  </si>
  <si>
    <t>李延飞</t>
    <phoneticPr fontId="28"/>
  </si>
  <si>
    <t>金晓灵</t>
    <phoneticPr fontId="26" type="noConversion"/>
  </si>
  <si>
    <t>陈扬</t>
    <phoneticPr fontId="26" type="noConversion"/>
  </si>
  <si>
    <t>宋晨</t>
    <phoneticPr fontId="26" type="noConversion"/>
  </si>
  <si>
    <t>李长龙</t>
    <phoneticPr fontId="26" type="noConversion"/>
  </si>
  <si>
    <t>单军华</t>
    <phoneticPr fontId="28"/>
  </si>
  <si>
    <t>钱青龙</t>
    <phoneticPr fontId="28"/>
  </si>
  <si>
    <t>陈健</t>
    <phoneticPr fontId="28"/>
  </si>
  <si>
    <t>李辉</t>
    <phoneticPr fontId="26" type="noConversion"/>
  </si>
  <si>
    <t>王兴东</t>
    <phoneticPr fontId="26" type="noConversion"/>
  </si>
  <si>
    <t>王晓亮</t>
    <phoneticPr fontId="26" type="noConversion"/>
  </si>
  <si>
    <t>常磊</t>
    <phoneticPr fontId="26" type="noConversion"/>
  </si>
  <si>
    <t>谢伟</t>
    <phoneticPr fontId="28"/>
  </si>
  <si>
    <t>沈凯</t>
    <phoneticPr fontId="28"/>
  </si>
  <si>
    <t>陆巍</t>
    <phoneticPr fontId="26" type="noConversion"/>
  </si>
  <si>
    <t>朱亚斌</t>
    <phoneticPr fontId="28"/>
  </si>
  <si>
    <t>左仁成</t>
    <phoneticPr fontId="28"/>
  </si>
  <si>
    <t>袁鑫</t>
    <phoneticPr fontId="28"/>
  </si>
  <si>
    <t>秦吉伟</t>
    <phoneticPr fontId="28"/>
  </si>
  <si>
    <t>刘燃峰</t>
    <phoneticPr fontId="28"/>
  </si>
  <si>
    <t>秦超</t>
    <phoneticPr fontId="28"/>
  </si>
  <si>
    <t>朱振飞</t>
    <phoneticPr fontId="28"/>
  </si>
  <si>
    <t>邵玉烽</t>
    <phoneticPr fontId="28"/>
  </si>
  <si>
    <t>杨佳佳</t>
    <phoneticPr fontId="28"/>
  </si>
  <si>
    <t>于军</t>
    <phoneticPr fontId="28"/>
  </si>
  <si>
    <t>刘涛</t>
    <phoneticPr fontId="28"/>
  </si>
  <si>
    <t>金龙</t>
    <phoneticPr fontId="28"/>
  </si>
  <si>
    <t>陈吉</t>
    <phoneticPr fontId="28"/>
  </si>
  <si>
    <t>葛建飞</t>
    <phoneticPr fontId="26" type="noConversion"/>
  </si>
  <si>
    <t>赵燕</t>
    <phoneticPr fontId="28"/>
  </si>
  <si>
    <t>史佳丽</t>
    <phoneticPr fontId="28"/>
  </si>
  <si>
    <t>李建雨</t>
    <phoneticPr fontId="28"/>
  </si>
  <si>
    <t>孙栋栋</t>
    <phoneticPr fontId="28"/>
  </si>
  <si>
    <t>严晓黎</t>
    <phoneticPr fontId="28"/>
  </si>
  <si>
    <t>周萍萍</t>
    <phoneticPr fontId="28"/>
  </si>
  <si>
    <t>黄平</t>
    <phoneticPr fontId="28"/>
  </si>
  <si>
    <t>陈诚</t>
  </si>
  <si>
    <t>周俊</t>
  </si>
  <si>
    <t>陈爱飞</t>
    <phoneticPr fontId="26" type="noConversion"/>
  </si>
  <si>
    <t>顾靖琪</t>
    <phoneticPr fontId="26" type="noConversion"/>
  </si>
  <si>
    <t>5组</t>
    <phoneticPr fontId="26" type="noConversion"/>
  </si>
  <si>
    <t>1组</t>
    <phoneticPr fontId="26" type="noConversion"/>
  </si>
  <si>
    <t>2组</t>
    <phoneticPr fontId="26" type="noConversion"/>
  </si>
  <si>
    <t>7组</t>
    <phoneticPr fontId="26" type="noConversion"/>
  </si>
  <si>
    <t>3组</t>
    <phoneticPr fontId="26" type="noConversion"/>
  </si>
  <si>
    <t>6组</t>
    <phoneticPr fontId="26" type="noConversion"/>
  </si>
  <si>
    <t>4组</t>
    <phoneticPr fontId="26" type="noConversion"/>
  </si>
  <si>
    <t>8组</t>
    <phoneticPr fontId="26" type="noConversion"/>
  </si>
  <si>
    <t>王晓亮</t>
    <phoneticPr fontId="28"/>
  </si>
  <si>
    <t>陈诚</t>
    <phoneticPr fontId="26" type="noConversion"/>
  </si>
  <si>
    <t>黄平</t>
    <phoneticPr fontId="28"/>
  </si>
  <si>
    <t>黄超</t>
    <phoneticPr fontId="28"/>
  </si>
  <si>
    <t>于军</t>
    <phoneticPr fontId="28"/>
  </si>
  <si>
    <t>单军华</t>
    <phoneticPr fontId="28"/>
  </si>
  <si>
    <t>秦超</t>
    <phoneticPr fontId="28"/>
  </si>
  <si>
    <t>董鑫</t>
    <phoneticPr fontId="28"/>
  </si>
  <si>
    <t>常磊</t>
    <phoneticPr fontId="26" type="noConversion"/>
  </si>
  <si>
    <t>孙栋栋</t>
    <phoneticPr fontId="28"/>
  </si>
  <si>
    <t>周萍萍</t>
    <phoneticPr fontId="28"/>
  </si>
  <si>
    <t>黄海宇</t>
    <phoneticPr fontId="28"/>
  </si>
  <si>
    <t>杨佳佳</t>
    <phoneticPr fontId="28"/>
  </si>
  <si>
    <t>李延飞</t>
    <phoneticPr fontId="28"/>
  </si>
  <si>
    <t>谢伟</t>
    <phoneticPr fontId="28"/>
  </si>
  <si>
    <t>陈华华</t>
    <phoneticPr fontId="28"/>
  </si>
  <si>
    <t>李辉</t>
    <phoneticPr fontId="26" type="noConversion"/>
  </si>
  <si>
    <t>李建雨</t>
    <phoneticPr fontId="28"/>
  </si>
  <si>
    <t>严晓黎</t>
    <phoneticPr fontId="28"/>
  </si>
  <si>
    <t>蒋猛</t>
    <phoneticPr fontId="28"/>
  </si>
  <si>
    <t>邵玉烽</t>
    <phoneticPr fontId="28"/>
  </si>
  <si>
    <t>陈健</t>
    <phoneticPr fontId="28"/>
  </si>
  <si>
    <t>刘燃峰</t>
    <phoneticPr fontId="28"/>
  </si>
  <si>
    <t>卢枫</t>
    <phoneticPr fontId="28"/>
  </si>
  <si>
    <t>王兴东</t>
    <phoneticPr fontId="26" type="noConversion"/>
  </si>
  <si>
    <t>史佳丽</t>
    <phoneticPr fontId="28"/>
  </si>
  <si>
    <t>金龙</t>
    <phoneticPr fontId="28"/>
  </si>
  <si>
    <t>崔从胜</t>
    <phoneticPr fontId="28"/>
  </si>
  <si>
    <t>秦吉伟</t>
    <phoneticPr fontId="28"/>
  </si>
  <si>
    <t>钱青龙</t>
    <phoneticPr fontId="28"/>
  </si>
  <si>
    <t>朱振飞</t>
    <phoneticPr fontId="28"/>
  </si>
  <si>
    <t>吴长秋</t>
    <phoneticPr fontId="26" type="noConversion"/>
  </si>
  <si>
    <t>李长龙</t>
    <phoneticPr fontId="26" type="noConversion"/>
  </si>
  <si>
    <t>赵燕</t>
    <phoneticPr fontId="28"/>
  </si>
  <si>
    <t>陈吉</t>
    <phoneticPr fontId="28"/>
  </si>
  <si>
    <t>杨捷</t>
    <phoneticPr fontId="28"/>
  </si>
  <si>
    <t>袁鑫</t>
    <phoneticPr fontId="28"/>
  </si>
  <si>
    <t>张洁</t>
    <phoneticPr fontId="28"/>
  </si>
  <si>
    <t>沈凯</t>
    <phoneticPr fontId="28"/>
  </si>
  <si>
    <t>吴郧杰</t>
    <phoneticPr fontId="28"/>
  </si>
  <si>
    <t>宋晨</t>
    <phoneticPr fontId="26" type="noConversion"/>
  </si>
  <si>
    <t>顾靖琪</t>
    <phoneticPr fontId="26" type="noConversion"/>
  </si>
  <si>
    <t>葛建飞</t>
    <phoneticPr fontId="26" type="noConversion"/>
  </si>
  <si>
    <t>周玉婷</t>
    <phoneticPr fontId="28"/>
  </si>
  <si>
    <t>刘涛</t>
    <phoneticPr fontId="28"/>
  </si>
  <si>
    <t>曹跃萍</t>
    <phoneticPr fontId="28"/>
  </si>
  <si>
    <t>陆巍</t>
    <phoneticPr fontId="26" type="noConversion"/>
  </si>
  <si>
    <t>孟海波</t>
    <phoneticPr fontId="28"/>
  </si>
  <si>
    <t>陈扬</t>
    <phoneticPr fontId="26" type="noConversion"/>
  </si>
  <si>
    <t>陈爱飞</t>
    <phoneticPr fontId="26" type="noConversion"/>
  </si>
  <si>
    <t>陈林琳</t>
    <phoneticPr fontId="28"/>
  </si>
  <si>
    <t>左仁成</t>
    <phoneticPr fontId="28"/>
  </si>
  <si>
    <t>杨海波</t>
    <phoneticPr fontId="28"/>
  </si>
  <si>
    <t>金晓灵</t>
    <phoneticPr fontId="26" type="noConversion"/>
  </si>
  <si>
    <t>庄胜</t>
    <phoneticPr fontId="26" type="noConversion"/>
  </si>
  <si>
    <t>朱亚斌</t>
    <phoneticPr fontId="28"/>
  </si>
  <si>
    <t>唐小虎</t>
    <phoneticPr fontId="26" type="noConversion"/>
  </si>
  <si>
    <t>总负责人：李辉</t>
    <phoneticPr fontId="26" type="noConversion"/>
  </si>
  <si>
    <t>总负责人：张洁</t>
    <phoneticPr fontId="26" type="noConversion"/>
  </si>
  <si>
    <r>
      <t>效率与基</t>
    </r>
    <r>
      <rPr>
        <sz val="11"/>
        <color theme="1"/>
        <rFont val="宋体"/>
        <family val="3"/>
        <charset val="134"/>
        <scheme val="minor"/>
      </rPr>
      <t>础</t>
    </r>
    <r>
      <rPr>
        <sz val="11"/>
        <color theme="1"/>
        <rFont val="宋体"/>
        <family val="3"/>
        <charset val="134"/>
        <scheme val="minor"/>
      </rPr>
      <t>知</t>
    </r>
    <r>
      <rPr>
        <sz val="11"/>
        <color theme="1"/>
        <rFont val="宋体"/>
        <family val="3"/>
        <charset val="134"/>
        <scheme val="minor"/>
      </rPr>
      <t>识</t>
    </r>
    <phoneticPr fontId="17" type="noConversion"/>
  </si>
  <si>
    <t>wxl529425@163.com</t>
    <phoneticPr fontId="2"/>
  </si>
  <si>
    <t>317412590@qq.com</t>
    <phoneticPr fontId="2"/>
  </si>
  <si>
    <t>magico921@qq.com</t>
    <phoneticPr fontId="2"/>
  </si>
  <si>
    <t>qinjiwei0105@163.com</t>
    <phoneticPr fontId="2"/>
  </si>
  <si>
    <t>478877726@qq.com</t>
    <phoneticPr fontId="2"/>
  </si>
  <si>
    <t>liyanfei_1221@126.com</t>
    <phoneticPr fontId="2"/>
  </si>
  <si>
    <t>tang8811@qq.com</t>
    <phoneticPr fontId="2"/>
  </si>
  <si>
    <t>806795152@qq.com</t>
    <phoneticPr fontId="2"/>
  </si>
  <si>
    <t>huangping_1988.12@hotmail.com</t>
    <phoneticPr fontId="2"/>
  </si>
  <si>
    <t>654824073@qq.com</t>
    <phoneticPr fontId="2"/>
  </si>
  <si>
    <t>stonea77@qq.com</t>
    <phoneticPr fontId="2"/>
  </si>
  <si>
    <t>maple_lufeng@163.com</t>
    <phoneticPr fontId="2"/>
  </si>
  <si>
    <t>wuyunjie6352482@qq.com</t>
    <phoneticPr fontId="2"/>
  </si>
  <si>
    <t>haxiu_shy@126.com</t>
    <phoneticPr fontId="2"/>
  </si>
  <si>
    <t>836684894@qq.com</t>
    <phoneticPr fontId="2"/>
  </si>
  <si>
    <t>wuchangqiu805@163.com</t>
    <phoneticPr fontId="2"/>
  </si>
  <si>
    <t>oceanwavehuang@gmail.com</t>
    <phoneticPr fontId="2"/>
  </si>
  <si>
    <t>zy7800931@126.com</t>
    <phoneticPr fontId="2"/>
  </si>
  <si>
    <t>shaoyufeng_123@hotmail.com</t>
    <phoneticPr fontId="2"/>
  </si>
  <si>
    <t>lihui4512z@hotmail.com</t>
    <phoneticPr fontId="2"/>
  </si>
  <si>
    <t>wxdcherry@qq.com</t>
    <phoneticPr fontId="2"/>
  </si>
  <si>
    <t>falseair@qq.com</t>
    <phoneticPr fontId="2"/>
  </si>
  <si>
    <t>234610666@qq.com</t>
    <phoneticPr fontId="2"/>
  </si>
  <si>
    <t>zyb@hialbin.cn</t>
    <phoneticPr fontId="2"/>
  </si>
  <si>
    <t>kingboxking@vip.qq.com</t>
    <phoneticPr fontId="2"/>
  </si>
  <si>
    <t>13814981037@163.com</t>
    <phoneticPr fontId="2"/>
  </si>
  <si>
    <t>dongxin1989dx@yahoo.cn</t>
    <phoneticPr fontId="2"/>
  </si>
  <si>
    <t>826669484@qq.com</t>
    <phoneticPr fontId="2"/>
  </si>
  <si>
    <t>转班</t>
    <phoneticPr fontId="2"/>
  </si>
  <si>
    <t>emovip@qq.com</t>
    <phoneticPr fontId="2"/>
  </si>
  <si>
    <t>872387079@qq.com</t>
    <phoneticPr fontId="2"/>
  </si>
  <si>
    <t>704613847@qq.com</t>
    <phoneticPr fontId="2"/>
  </si>
  <si>
    <t>527465017@qq.com</t>
    <phoneticPr fontId="2"/>
  </si>
  <si>
    <t xml:space="preserve">674733446@qq.com; </t>
    <phoneticPr fontId="2"/>
  </si>
  <si>
    <t>adelecyp@hotmail.com</t>
    <phoneticPr fontId="2"/>
  </si>
  <si>
    <t>Email</t>
    <phoneticPr fontId="2"/>
  </si>
  <si>
    <t>gujingqi@qq.com</t>
    <phoneticPr fontId="2"/>
  </si>
  <si>
    <t>xiaoli-_-yan@qq.com</t>
    <phoneticPr fontId="2"/>
  </si>
  <si>
    <t>616106961@qq.com</t>
    <phoneticPr fontId="2"/>
  </si>
  <si>
    <t>曹跃萍</t>
    <phoneticPr fontId="2"/>
  </si>
  <si>
    <t>陈爱飞</t>
    <phoneticPr fontId="2"/>
  </si>
  <si>
    <t>865497689@qq.com</t>
    <phoneticPr fontId="2"/>
  </si>
  <si>
    <t>a-sky-milujite@qq.com</t>
    <phoneticPr fontId="2"/>
  </si>
  <si>
    <t>lu4799096@qq.com</t>
    <phoneticPr fontId="2"/>
  </si>
  <si>
    <t>125shenkai308@sina.com</t>
    <phoneticPr fontId="2"/>
  </si>
  <si>
    <t>754476292@qq.com</t>
    <phoneticPr fontId="2"/>
  </si>
  <si>
    <t>lllccclllccclll@live.cn</t>
    <phoneticPr fontId="2"/>
  </si>
  <si>
    <t>ruby.ha.ppy@163.com</t>
    <phoneticPr fontId="2"/>
  </si>
  <si>
    <t>预习</t>
    <phoneticPr fontId="2"/>
  </si>
  <si>
    <r>
      <t>因机房不</t>
    </r>
    <r>
      <rPr>
        <sz val="11"/>
        <color theme="1"/>
        <rFont val="宋体"/>
        <family val="3"/>
        <charset val="134"/>
        <scheme val="minor"/>
      </rPr>
      <t>备空转一周</t>
    </r>
    <phoneticPr fontId="2"/>
  </si>
  <si>
    <t>cobol</t>
    <phoneticPr fontId="17" type="noConversion"/>
  </si>
  <si>
    <t>db2</t>
    <phoneticPr fontId="17" type="noConversion"/>
  </si>
  <si>
    <t>IBM-ETP Mainframe课程纲要</t>
    <phoneticPr fontId="41" type="noConversion"/>
  </si>
  <si>
    <t>IBM MAINFRAME CONCEPT</t>
    <phoneticPr fontId="41" type="noConversion"/>
  </si>
  <si>
    <t xml:space="preserve">  描述mainframe的历史、优势和基本概念；解释mainframe操作系统下的系统管理、存储管理、</t>
    <phoneticPr fontId="41" type="noConversion"/>
  </si>
  <si>
    <t>任务管理、输入输出进程、RACF、SDSF、SMS、JES2系统等概念。</t>
    <phoneticPr fontId="41" type="noConversion"/>
  </si>
  <si>
    <t>ISPF/PDF With TSO/E</t>
    <phoneticPr fontId="41" type="noConversion"/>
  </si>
  <si>
    <t>VS-COBOL</t>
    <phoneticPr fontId="41" type="noConversion"/>
  </si>
  <si>
    <t>MVS JCL and Utilities</t>
    <phoneticPr fontId="41" type="noConversion"/>
  </si>
  <si>
    <t>VSAM Fundamental</t>
    <phoneticPr fontId="41" type="noConversion"/>
  </si>
  <si>
    <t>CICS</t>
    <phoneticPr fontId="41" type="noConversion"/>
  </si>
  <si>
    <t>DB2</t>
    <phoneticPr fontId="41" type="noConversion"/>
  </si>
  <si>
    <t>Dummy Project</t>
    <phoneticPr fontId="41" type="noConversion"/>
  </si>
  <si>
    <t>培训内容：</t>
    <phoneticPr fontId="41" type="noConversion"/>
  </si>
  <si>
    <t>了解应用开发项目的完整过程</t>
    <phoneticPr fontId="41" type="noConversion"/>
  </si>
  <si>
    <t>大型项目内部人员的协同工作</t>
    <phoneticPr fontId="41" type="noConversion"/>
  </si>
  <si>
    <t>项目启动</t>
    <phoneticPr fontId="41" type="noConversion"/>
  </si>
  <si>
    <t>业务理解</t>
    <phoneticPr fontId="41" type="noConversion"/>
  </si>
  <si>
    <t>需求分析</t>
    <phoneticPr fontId="41" type="noConversion"/>
  </si>
  <si>
    <t>概要设计</t>
    <phoneticPr fontId="41" type="noConversion"/>
  </si>
  <si>
    <t>详细设计</t>
    <phoneticPr fontId="41" type="noConversion"/>
  </si>
  <si>
    <t>编码</t>
    <phoneticPr fontId="41" type="noConversion"/>
  </si>
  <si>
    <t>测试</t>
    <phoneticPr fontId="41" type="noConversion"/>
  </si>
  <si>
    <t>上线</t>
    <phoneticPr fontId="41" type="noConversion"/>
  </si>
  <si>
    <t>项目总结</t>
    <phoneticPr fontId="41" type="noConversion"/>
  </si>
  <si>
    <t>DB2数据库系统简介</t>
    <phoneticPr fontId="41" type="noConversion"/>
  </si>
  <si>
    <t>BD2在COBOL中的应用</t>
    <phoneticPr fontId="41" type="noConversion"/>
  </si>
  <si>
    <t>DML数据操作语言</t>
    <phoneticPr fontId="41" type="noConversion"/>
  </si>
  <si>
    <t>DDL数据定义语言</t>
    <phoneticPr fontId="41" type="noConversion"/>
  </si>
  <si>
    <t>DCL数据控制语言</t>
    <phoneticPr fontId="41" type="noConversion"/>
  </si>
  <si>
    <t>SQLCA的介绍</t>
    <phoneticPr fontId="41" type="noConversion"/>
  </si>
  <si>
    <t>Management Modules.</t>
    <phoneticPr fontId="41" type="noConversion"/>
  </si>
  <si>
    <t>Control Tables.</t>
    <phoneticPr fontId="41" type="noConversion"/>
  </si>
  <si>
    <t>Control Blocks</t>
    <phoneticPr fontId="41" type="noConversion"/>
  </si>
  <si>
    <t>CICS and Application Program</t>
    <phoneticPr fontId="41" type="noConversion"/>
  </si>
  <si>
    <t>CICS and Operating System</t>
    <phoneticPr fontId="41" type="noConversion"/>
  </si>
  <si>
    <t>VSAM数据集的访问方法，文件结构及管理</t>
    <phoneticPr fontId="41" type="noConversion"/>
  </si>
  <si>
    <t>VSAM in Cobol</t>
    <phoneticPr fontId="41" type="noConversion"/>
  </si>
  <si>
    <t>Use IDCAMS</t>
    <phoneticPr fontId="41" type="noConversion"/>
  </si>
  <si>
    <t>Data Organization</t>
    <phoneticPr fontId="41" type="noConversion"/>
  </si>
  <si>
    <t>Introduction to JCL</t>
    <phoneticPr fontId="41" type="noConversion"/>
  </si>
  <si>
    <t>JOB,EXEC, DD Statements</t>
    <phoneticPr fontId="41" type="noConversion"/>
  </si>
  <si>
    <t>DD Parameters</t>
    <phoneticPr fontId="41" type="noConversion"/>
  </si>
  <si>
    <t>Introduce to Utilities</t>
    <phoneticPr fontId="41" type="noConversion"/>
  </si>
  <si>
    <t>COBOL基本语法</t>
    <phoneticPr fontId="41" type="noConversion"/>
  </si>
  <si>
    <t>COBOL语言特点</t>
    <phoneticPr fontId="41" type="noConversion"/>
  </si>
  <si>
    <t>COBOL程序结构</t>
    <phoneticPr fontId="41" type="noConversion"/>
  </si>
  <si>
    <t>COBOL中文件的使用</t>
    <phoneticPr fontId="41" type="noConversion"/>
  </si>
  <si>
    <t>COBOL的编译、连接、测试和调试等</t>
    <phoneticPr fontId="4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</si>
</sst>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/d;[$]aaaa;@"/>
    <numFmt numFmtId="177" formatCode="yyyy/m/daaaa;@"/>
  </numFmts>
  <fonts count="43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6"/>
      <name val="宋体"/>
      <family val="3"/>
      <charset val="134"/>
    </font>
    <font>
      <sz val="9"/>
      <name val="宋体"/>
      <family val="3"/>
      <charset val="134"/>
    </font>
    <font>
      <sz val="9"/>
      <name val="Times New Roman"/>
      <family val="1"/>
    </font>
    <font>
      <b/>
      <sz val="9"/>
      <name val="宋体"/>
      <family val="3"/>
      <charset val="134"/>
    </font>
    <font>
      <b/>
      <sz val="14"/>
      <name val="宋体"/>
      <family val="3"/>
      <charset val="134"/>
    </font>
    <font>
      <b/>
      <sz val="14"/>
      <name val="Times New Roman"/>
      <family val="1"/>
    </font>
    <font>
      <sz val="10"/>
      <name val="宋体"/>
      <family val="3"/>
      <charset val="134"/>
    </font>
    <font>
      <b/>
      <sz val="12"/>
      <name val="宋体"/>
      <family val="3"/>
      <charset val="134"/>
    </font>
    <font>
      <b/>
      <sz val="26"/>
      <color indexed="10"/>
      <name val="宋体"/>
      <family val="3"/>
      <charset val="134"/>
    </font>
    <font>
      <sz val="11"/>
      <color indexed="8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trike/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2"/>
      <name val="宋体"/>
      <family val="3"/>
      <charset val="134"/>
    </font>
    <font>
      <b/>
      <sz val="24"/>
      <color theme="1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20"/>
      <color theme="1"/>
      <name val="宋体"/>
      <family val="3"/>
      <charset val="134"/>
    </font>
    <font>
      <sz val="6"/>
      <name val="宋体"/>
      <family val="3"/>
      <charset val="134"/>
    </font>
    <font>
      <sz val="20"/>
      <color rgb="FFFF0000"/>
      <name val="宋体"/>
      <family val="3"/>
      <charset val="134"/>
    </font>
    <font>
      <b/>
      <sz val="20"/>
      <color theme="1"/>
      <name val="宋体"/>
      <family val="3"/>
      <charset val="134"/>
    </font>
    <font>
      <b/>
      <sz val="20"/>
      <color rgb="FFFF0000"/>
      <name val="宋体"/>
      <family val="3"/>
      <charset val="134"/>
    </font>
    <font>
      <sz val="22"/>
      <name val="宋体"/>
      <family val="3"/>
      <charset val="134"/>
    </font>
    <font>
      <sz val="20"/>
      <color theme="8"/>
      <name val="宋体"/>
      <family val="3"/>
      <charset val="134"/>
    </font>
    <font>
      <sz val="2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u/>
      <sz val="11"/>
      <color theme="10"/>
      <name val="宋体"/>
      <family val="2"/>
      <scheme val="minor"/>
    </font>
    <font>
      <sz val="11"/>
      <name val="宋体"/>
      <family val="3"/>
      <charset val="134"/>
      <scheme val="minor"/>
    </font>
    <font>
      <u/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9"/>
      <name val="宋体"/>
      <charset val="134"/>
      <scheme val="minor"/>
    </font>
    <font>
      <b/>
      <sz val="11"/>
      <color theme="1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</fills>
  <borders count="31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1" fillId="0" borderId="0">
      <alignment vertical="center"/>
    </xf>
    <xf numFmtId="0" fontId="23" fillId="0" borderId="0"/>
    <xf numFmtId="0" fontId="37" fillId="0" borderId="0" applyNumberFormat="0" applyFill="0" applyBorder="0" applyAlignment="0" applyProtection="0"/>
  </cellStyleXfs>
  <cellXfs count="190">
    <xf numFmtId="0" fontId="0" fillId="0" borderId="0" xfId="0"/>
    <xf numFmtId="0" fontId="1" fillId="2" borderId="0" xfId="1" applyFont="1" applyFill="1"/>
    <xf numFmtId="0" fontId="1" fillId="2" borderId="0" xfId="1" applyFont="1" applyFill="1" applyAlignment="1">
      <alignment horizontal="left" vertical="center"/>
    </xf>
    <xf numFmtId="0" fontId="1" fillId="2" borderId="0" xfId="1" applyFont="1" applyFill="1" applyAlignment="1">
      <alignment horizontal="center" vertical="center"/>
    </xf>
    <xf numFmtId="0" fontId="3" fillId="2" borderId="1" xfId="1" applyFont="1" applyFill="1" applyBorder="1"/>
    <xf numFmtId="0" fontId="3" fillId="2" borderId="2" xfId="1" applyFont="1" applyFill="1" applyBorder="1" applyAlignment="1">
      <alignment horizontal="left" vertical="center"/>
    </xf>
    <xf numFmtId="0" fontId="3" fillId="2" borderId="3" xfId="1" applyFont="1" applyFill="1" applyBorder="1"/>
    <xf numFmtId="0" fontId="3" fillId="2" borderId="4" xfId="1" applyFont="1" applyFill="1" applyBorder="1" applyAlignment="1">
      <alignment horizontal="left" vertical="center"/>
    </xf>
    <xf numFmtId="0" fontId="3" fillId="2" borderId="5" xfId="1" applyFont="1" applyFill="1" applyBorder="1"/>
    <xf numFmtId="0" fontId="3" fillId="2" borderId="6" xfId="1" applyFont="1" applyFill="1" applyBorder="1" applyAlignment="1">
      <alignment horizontal="left" vertical="center"/>
    </xf>
    <xf numFmtId="0" fontId="3" fillId="2" borderId="7" xfId="1" applyFont="1" applyFill="1" applyBorder="1"/>
    <xf numFmtId="0" fontId="3" fillId="2" borderId="5" xfId="1" applyFont="1" applyFill="1" applyBorder="1" applyAlignment="1">
      <alignment wrapText="1"/>
    </xf>
    <xf numFmtId="0" fontId="3" fillId="2" borderId="0" xfId="1" applyFont="1" applyFill="1"/>
    <xf numFmtId="0" fontId="3" fillId="2" borderId="6" xfId="1" applyFont="1" applyFill="1" applyBorder="1" applyAlignment="1">
      <alignment horizontal="left" vertical="center" wrapText="1"/>
    </xf>
    <xf numFmtId="0" fontId="3" fillId="2" borderId="4" xfId="1" applyFont="1" applyFill="1" applyBorder="1" applyAlignment="1">
      <alignment horizontal="left" vertical="center" wrapText="1"/>
    </xf>
    <xf numFmtId="0" fontId="3" fillId="2" borderId="7" xfId="1" applyFont="1" applyFill="1" applyBorder="1" applyAlignment="1">
      <alignment wrapText="1"/>
    </xf>
    <xf numFmtId="0" fontId="5" fillId="2" borderId="8" xfId="1" applyFont="1" applyFill="1" applyBorder="1" applyAlignment="1">
      <alignment horizontal="center"/>
    </xf>
    <xf numFmtId="0" fontId="5" fillId="2" borderId="9" xfId="1" applyFont="1" applyFill="1" applyBorder="1" applyAlignment="1">
      <alignment horizontal="center" vertical="center"/>
    </xf>
    <xf numFmtId="0" fontId="5" fillId="2" borderId="10" xfId="1" applyFont="1" applyFill="1" applyBorder="1" applyAlignment="1">
      <alignment horizontal="center" vertical="center"/>
    </xf>
    <xf numFmtId="0" fontId="3" fillId="2" borderId="0" xfId="1" applyFont="1" applyFill="1" applyAlignment="1">
      <alignment horizontal="left" vertical="center"/>
    </xf>
    <xf numFmtId="0" fontId="1" fillId="0" borderId="0" xfId="1" applyFont="1" applyFill="1"/>
    <xf numFmtId="0" fontId="1" fillId="0" borderId="0" xfId="1" applyFont="1" applyFill="1" applyAlignment="1">
      <alignment horizontal="left" vertical="center"/>
    </xf>
    <xf numFmtId="0" fontId="1" fillId="0" borderId="0" xfId="1" applyFont="1" applyFill="1" applyAlignment="1">
      <alignment horizontal="center" vertical="center"/>
    </xf>
    <xf numFmtId="0" fontId="3" fillId="0" borderId="0" xfId="1" applyFont="1" applyFill="1"/>
    <xf numFmtId="0" fontId="3" fillId="0" borderId="11" xfId="1" applyFont="1" applyFill="1" applyBorder="1"/>
    <xf numFmtId="0" fontId="3" fillId="0" borderId="12" xfId="1" applyFont="1" applyFill="1" applyBorder="1"/>
    <xf numFmtId="0" fontId="3" fillId="0" borderId="13" xfId="1" applyFont="1" applyFill="1" applyBorder="1"/>
    <xf numFmtId="0" fontId="3" fillId="0" borderId="3" xfId="1" applyFont="1" applyFill="1" applyBorder="1"/>
    <xf numFmtId="0" fontId="5" fillId="0" borderId="14" xfId="1" applyFont="1" applyFill="1" applyBorder="1" applyAlignment="1">
      <alignment horizontal="center"/>
    </xf>
    <xf numFmtId="0" fontId="5" fillId="0" borderId="15" xfId="1" applyFont="1" applyFill="1" applyBorder="1" applyAlignment="1">
      <alignment horizontal="center" vertical="center"/>
    </xf>
    <xf numFmtId="0" fontId="5" fillId="0" borderId="10" xfId="1" applyFont="1" applyFill="1" applyBorder="1" applyAlignment="1">
      <alignment horizontal="center" vertical="center"/>
    </xf>
    <xf numFmtId="0" fontId="1" fillId="0" borderId="0" xfId="2">
      <alignment vertical="center"/>
    </xf>
    <xf numFmtId="0" fontId="1" fillId="0" borderId="0" xfId="2" applyFill="1">
      <alignment vertical="center"/>
    </xf>
    <xf numFmtId="0" fontId="9" fillId="0" borderId="0" xfId="2" applyFont="1">
      <alignment vertical="center"/>
    </xf>
    <xf numFmtId="0" fontId="9" fillId="2" borderId="16" xfId="2" applyFont="1" applyFill="1" applyBorder="1" applyAlignment="1">
      <alignment horizontal="center" vertical="center"/>
    </xf>
    <xf numFmtId="0" fontId="0" fillId="3" borderId="0" xfId="0" applyFill="1"/>
    <xf numFmtId="0" fontId="11" fillId="4" borderId="0" xfId="0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1" fillId="0" borderId="0" xfId="0" applyFont="1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1" fillId="3" borderId="0" xfId="0" applyFont="1" applyFill="1"/>
    <xf numFmtId="0" fontId="11" fillId="3" borderId="0" xfId="0" applyFont="1" applyFill="1" applyAlignment="1">
      <alignment horizontal="left" indent="1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0" fillId="3" borderId="0" xfId="0" applyFill="1" applyAlignment="1">
      <alignment horizontal="center"/>
    </xf>
    <xf numFmtId="0" fontId="11" fillId="0" borderId="0" xfId="0" applyFont="1" applyAlignment="1">
      <alignment horizontal="left" vertical="center" wrapText="1"/>
    </xf>
    <xf numFmtId="0" fontId="12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 wrapText="1"/>
    </xf>
    <xf numFmtId="0" fontId="0" fillId="0" borderId="0" xfId="0" applyFont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13" fillId="0" borderId="0" xfId="0" applyFont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horizontal="left" vertical="center"/>
    </xf>
    <xf numFmtId="0" fontId="11" fillId="0" borderId="0" xfId="0" applyFont="1" applyFill="1" applyAlignment="1">
      <alignment vertical="center" wrapText="1"/>
    </xf>
    <xf numFmtId="0" fontId="15" fillId="0" borderId="0" xfId="0" applyFont="1" applyFill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0" fillId="0" borderId="17" xfId="0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18" fillId="7" borderId="17" xfId="0" applyFont="1" applyFill="1" applyBorder="1" applyAlignment="1">
      <alignment horizontal="center" vertical="center"/>
    </xf>
    <xf numFmtId="0" fontId="19" fillId="7" borderId="17" xfId="0" applyFont="1" applyFill="1" applyBorder="1" applyAlignment="1">
      <alignment horizontal="center" vertical="center"/>
    </xf>
    <xf numFmtId="0" fontId="22" fillId="0" borderId="0" xfId="0" applyFont="1" applyFill="1" applyAlignment="1">
      <alignment horizontal="left" vertical="center"/>
    </xf>
    <xf numFmtId="0" fontId="20" fillId="0" borderId="0" xfId="0" applyFont="1" applyAlignment="1">
      <alignment horizontal="center"/>
    </xf>
    <xf numFmtId="176" fontId="0" fillId="4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0" fillId="4" borderId="0" xfId="0" applyFont="1" applyFill="1" applyAlignment="1">
      <alignment horizontal="center" vertical="center"/>
    </xf>
    <xf numFmtId="177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0" fontId="20" fillId="0" borderId="0" xfId="0" applyFont="1" applyAlignment="1">
      <alignment vertical="center" wrapText="1"/>
    </xf>
    <xf numFmtId="176" fontId="0" fillId="4" borderId="0" xfId="0" applyNumberFormat="1" applyFill="1" applyAlignment="1">
      <alignment vertical="center"/>
    </xf>
    <xf numFmtId="0" fontId="0" fillId="4" borderId="0" xfId="0" applyFill="1" applyAlignment="1">
      <alignment vertical="center"/>
    </xf>
    <xf numFmtId="0" fontId="20" fillId="0" borderId="17" xfId="0" applyFont="1" applyBorder="1" applyAlignment="1">
      <alignment horizontal="center" vertical="center"/>
    </xf>
    <xf numFmtId="0" fontId="20" fillId="7" borderId="17" xfId="0" applyFont="1" applyFill="1" applyBorder="1" applyAlignment="1">
      <alignment horizontal="center" vertical="center"/>
    </xf>
    <xf numFmtId="0" fontId="1" fillId="0" borderId="0" xfId="1"/>
    <xf numFmtId="0" fontId="1" fillId="0" borderId="0" xfId="1" applyFill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11" fillId="4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15" fillId="0" borderId="0" xfId="0" applyNumberFormat="1" applyFont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1" fillId="0" borderId="0" xfId="0" applyNumberFormat="1" applyFont="1" applyFill="1" applyAlignment="1">
      <alignment horizontal="center" vertical="center"/>
    </xf>
    <xf numFmtId="14" fontId="0" fillId="0" borderId="0" xfId="0" applyNumberFormat="1" applyFont="1" applyFill="1" applyAlignment="1">
      <alignment horizontal="center" vertical="center"/>
    </xf>
    <xf numFmtId="14" fontId="0" fillId="3" borderId="0" xfId="0" applyNumberFormat="1" applyFill="1" applyAlignment="1">
      <alignment horizontal="center" vertical="center"/>
    </xf>
    <xf numFmtId="0" fontId="20" fillId="0" borderId="0" xfId="0" applyFont="1" applyAlignment="1">
      <alignment vertical="center"/>
    </xf>
    <xf numFmtId="177" fontId="0" fillId="4" borderId="0" xfId="0" applyNumberFormat="1" applyFill="1" applyAlignment="1">
      <alignment vertical="center"/>
    </xf>
    <xf numFmtId="0" fontId="20" fillId="4" borderId="0" xfId="0" applyFont="1" applyFill="1" applyAlignment="1">
      <alignment vertical="center" wrapText="1"/>
    </xf>
    <xf numFmtId="0" fontId="23" fillId="0" borderId="0" xfId="3"/>
    <xf numFmtId="0" fontId="27" fillId="0" borderId="17" xfId="3" applyFont="1" applyBorder="1" applyAlignment="1">
      <alignment horizontal="center" vertical="center"/>
    </xf>
    <xf numFmtId="0" fontId="27" fillId="0" borderId="17" xfId="3" applyFont="1" applyFill="1" applyBorder="1" applyAlignment="1">
      <alignment horizontal="center" vertical="center"/>
    </xf>
    <xf numFmtId="0" fontId="27" fillId="0" borderId="18" xfId="3" applyFont="1" applyBorder="1" applyAlignment="1">
      <alignment horizontal="center" vertical="center"/>
    </xf>
    <xf numFmtId="0" fontId="29" fillId="0" borderId="17" xfId="3" applyFont="1" applyBorder="1" applyAlignment="1">
      <alignment horizontal="center" vertical="center"/>
    </xf>
    <xf numFmtId="0" fontId="27" fillId="0" borderId="25" xfId="3" applyFont="1" applyBorder="1" applyAlignment="1">
      <alignment horizontal="center" vertical="center"/>
    </xf>
    <xf numFmtId="0" fontId="29" fillId="0" borderId="17" xfId="3" applyFont="1" applyFill="1" applyBorder="1" applyAlignment="1">
      <alignment horizontal="center" vertical="center"/>
    </xf>
    <xf numFmtId="0" fontId="30" fillId="0" borderId="17" xfId="3" applyFont="1" applyBorder="1" applyAlignment="1">
      <alignment horizontal="center" vertical="center"/>
    </xf>
    <xf numFmtId="0" fontId="30" fillId="0" borderId="17" xfId="3" applyFont="1" applyFill="1" applyBorder="1" applyAlignment="1">
      <alignment horizontal="center" vertical="center"/>
    </xf>
    <xf numFmtId="0" fontId="27" fillId="0" borderId="16" xfId="3" applyFont="1" applyBorder="1" applyAlignment="1">
      <alignment horizontal="center" vertical="center"/>
    </xf>
    <xf numFmtId="0" fontId="31" fillId="0" borderId="17" xfId="3" applyFont="1" applyBorder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32" fillId="0" borderId="0" xfId="3" applyFont="1" applyAlignment="1">
      <alignment horizontal="center" vertical="center"/>
    </xf>
    <xf numFmtId="0" fontId="33" fillId="0" borderId="17" xfId="3" applyFont="1" applyBorder="1" applyAlignment="1">
      <alignment horizontal="center" vertical="center"/>
    </xf>
    <xf numFmtId="0" fontId="27" fillId="0" borderId="0" xfId="3" applyFont="1" applyAlignment="1">
      <alignment horizontal="center" vertical="center"/>
    </xf>
    <xf numFmtId="0" fontId="34" fillId="0" borderId="17" xfId="3" applyFont="1" applyBorder="1" applyAlignment="1">
      <alignment horizontal="center" vertical="center"/>
    </xf>
    <xf numFmtId="0" fontId="36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14" fontId="0" fillId="5" borderId="0" xfId="0" applyNumberFormat="1" applyFill="1" applyAlignment="1">
      <alignment horizontal="center" vertical="center"/>
    </xf>
    <xf numFmtId="14" fontId="0" fillId="6" borderId="0" xfId="0" applyNumberFormat="1" applyFill="1" applyAlignment="1">
      <alignment horizontal="center" vertical="center"/>
    </xf>
    <xf numFmtId="0" fontId="37" fillId="0" borderId="17" xfId="4" applyBorder="1" applyAlignment="1">
      <alignment horizontal="center" vertical="center"/>
    </xf>
    <xf numFmtId="0" fontId="19" fillId="0" borderId="17" xfId="0" applyFont="1" applyFill="1" applyBorder="1" applyAlignment="1">
      <alignment horizontal="center" vertical="center"/>
    </xf>
    <xf numFmtId="0" fontId="38" fillId="0" borderId="17" xfId="0" applyFont="1" applyFill="1" applyBorder="1" applyAlignment="1">
      <alignment horizontal="center" vertical="center"/>
    </xf>
    <xf numFmtId="0" fontId="39" fillId="0" borderId="17" xfId="4" applyFont="1" applyFill="1" applyBorder="1" applyAlignment="1">
      <alignment horizontal="center" vertical="center"/>
    </xf>
    <xf numFmtId="0" fontId="38" fillId="0" borderId="0" xfId="0" applyFont="1" applyFill="1" applyAlignment="1">
      <alignment horizontal="center" vertical="center"/>
    </xf>
    <xf numFmtId="0" fontId="37" fillId="7" borderId="17" xfId="4" applyFill="1" applyBorder="1" applyAlignment="1">
      <alignment horizontal="center" vertical="center"/>
    </xf>
    <xf numFmtId="0" fontId="35" fillId="7" borderId="17" xfId="0" applyFont="1" applyFill="1" applyBorder="1" applyAlignment="1">
      <alignment horizontal="center" vertical="center"/>
    </xf>
    <xf numFmtId="0" fontId="35" fillId="0" borderId="17" xfId="0" applyFont="1" applyBorder="1" applyAlignment="1">
      <alignment horizontal="center" vertical="center"/>
    </xf>
    <xf numFmtId="0" fontId="40" fillId="0" borderId="17" xfId="0" applyFont="1" applyBorder="1" applyAlignment="1">
      <alignment horizontal="center" vertical="center"/>
    </xf>
    <xf numFmtId="14" fontId="21" fillId="4" borderId="0" xfId="0" applyNumberFormat="1" applyFont="1" applyFill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5" fillId="0" borderId="0" xfId="0" applyFont="1" applyAlignment="1">
      <alignment horizontal="left" vertical="center"/>
    </xf>
    <xf numFmtId="0" fontId="42" fillId="0" borderId="0" xfId="0" applyFont="1" applyAlignment="1">
      <alignment horizontal="left" vertical="center"/>
    </xf>
    <xf numFmtId="0" fontId="35" fillId="0" borderId="0" xfId="0" applyFont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3" fillId="2" borderId="19" xfId="1" applyFont="1" applyFill="1" applyBorder="1" applyAlignment="1">
      <alignment horizontal="center" vertical="center"/>
    </xf>
    <xf numFmtId="0" fontId="3" fillId="2" borderId="20" xfId="1" applyFont="1" applyFill="1" applyBorder="1" applyAlignment="1">
      <alignment horizontal="left" vertical="center"/>
    </xf>
    <xf numFmtId="0" fontId="3" fillId="2" borderId="23" xfId="1" applyFont="1" applyFill="1" applyBorder="1" applyAlignment="1">
      <alignment horizontal="center" vertical="center"/>
    </xf>
    <xf numFmtId="0" fontId="3" fillId="2" borderId="24" xfId="1" applyFont="1" applyFill="1" applyBorder="1" applyAlignment="1">
      <alignment horizontal="left" vertical="center"/>
    </xf>
    <xf numFmtId="0" fontId="3" fillId="2" borderId="21" xfId="1" applyFont="1" applyFill="1" applyBorder="1" applyAlignment="1">
      <alignment horizontal="center" vertical="center"/>
    </xf>
    <xf numFmtId="0" fontId="3" fillId="2" borderId="6" xfId="1" applyFont="1" applyFill="1" applyBorder="1" applyAlignment="1">
      <alignment horizontal="left" vertical="center"/>
    </xf>
    <xf numFmtId="0" fontId="3" fillId="2" borderId="4" xfId="1" applyFont="1" applyFill="1" applyBorder="1" applyAlignment="1">
      <alignment horizontal="left" vertical="center"/>
    </xf>
    <xf numFmtId="0" fontId="3" fillId="2" borderId="20" xfId="1" applyFont="1" applyFill="1" applyBorder="1" applyAlignment="1">
      <alignment horizontal="left" vertical="center" wrapText="1"/>
    </xf>
    <xf numFmtId="0" fontId="7" fillId="2" borderId="0" xfId="1" applyFont="1" applyFill="1" applyAlignment="1">
      <alignment horizontal="center" vertical="center"/>
    </xf>
    <xf numFmtId="0" fontId="6" fillId="2" borderId="0" xfId="1" applyFont="1" applyFill="1" applyAlignment="1">
      <alignment horizontal="center" vertical="center"/>
    </xf>
    <xf numFmtId="0" fontId="3" fillId="2" borderId="22" xfId="1" applyFont="1" applyFill="1" applyBorder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6" fillId="0" borderId="0" xfId="1" applyFont="1" applyFill="1" applyAlignment="1">
      <alignment horizontal="center" vertical="center"/>
    </xf>
    <xf numFmtId="0" fontId="3" fillId="0" borderId="18" xfId="1" applyFont="1" applyFill="1" applyBorder="1" applyAlignment="1">
      <alignment horizontal="left" vertical="center"/>
    </xf>
    <xf numFmtId="0" fontId="3" fillId="0" borderId="25" xfId="1" applyFont="1" applyFill="1" applyBorder="1" applyAlignment="1">
      <alignment horizontal="left" vertical="center"/>
    </xf>
    <xf numFmtId="0" fontId="3" fillId="0" borderId="16" xfId="1" applyFont="1" applyFill="1" applyBorder="1" applyAlignment="1">
      <alignment horizontal="left" vertical="center"/>
    </xf>
    <xf numFmtId="0" fontId="3" fillId="0" borderId="19" xfId="1" applyFont="1" applyFill="1" applyBorder="1" applyAlignment="1">
      <alignment horizontal="center" vertical="center"/>
    </xf>
    <xf numFmtId="0" fontId="3" fillId="0" borderId="18" xfId="1" applyFont="1" applyFill="1" applyBorder="1" applyAlignment="1">
      <alignment horizontal="left" vertical="center" wrapText="1"/>
    </xf>
    <xf numFmtId="0" fontId="3" fillId="0" borderId="25" xfId="1" applyFont="1" applyFill="1" applyBorder="1" applyAlignment="1">
      <alignment horizontal="left" vertical="center" wrapText="1"/>
    </xf>
    <xf numFmtId="0" fontId="3" fillId="0" borderId="21" xfId="1" applyFont="1" applyFill="1" applyBorder="1" applyAlignment="1">
      <alignment horizontal="center" vertical="center"/>
    </xf>
    <xf numFmtId="0" fontId="3" fillId="0" borderId="0" xfId="1" applyFont="1" applyFill="1" applyAlignment="1">
      <alignment horizontal="left" vertical="center"/>
    </xf>
    <xf numFmtId="0" fontId="3" fillId="0" borderId="17" xfId="1" applyFont="1" applyFill="1" applyBorder="1" applyAlignment="1">
      <alignment horizontal="left" vertical="center"/>
    </xf>
    <xf numFmtId="0" fontId="1" fillId="0" borderId="17" xfId="2" applyFill="1" applyBorder="1" applyAlignment="1">
      <alignment horizontal="left" vertical="center"/>
    </xf>
    <xf numFmtId="0" fontId="1" fillId="0" borderId="17" xfId="2" applyFill="1" applyBorder="1" applyAlignment="1">
      <alignment horizontal="center" vertical="center"/>
    </xf>
    <xf numFmtId="0" fontId="1" fillId="0" borderId="18" xfId="2" applyFill="1" applyBorder="1" applyAlignment="1">
      <alignment horizontal="center" vertical="center"/>
    </xf>
    <xf numFmtId="0" fontId="1" fillId="0" borderId="16" xfId="2" applyFill="1" applyBorder="1" applyAlignment="1">
      <alignment horizontal="center" vertical="center"/>
    </xf>
    <xf numFmtId="0" fontId="1" fillId="0" borderId="17" xfId="2" applyFill="1" applyBorder="1" applyAlignment="1">
      <alignment horizontal="center" vertical="center" wrapText="1"/>
    </xf>
    <xf numFmtId="0" fontId="1" fillId="0" borderId="16" xfId="2" applyFill="1" applyBorder="1" applyAlignment="1">
      <alignment horizontal="center" vertical="center" wrapText="1"/>
    </xf>
    <xf numFmtId="0" fontId="8" fillId="0" borderId="17" xfId="2" applyFont="1" applyFill="1" applyBorder="1" applyAlignment="1">
      <alignment horizontal="left" vertical="center"/>
    </xf>
    <xf numFmtId="0" fontId="1" fillId="0" borderId="18" xfId="2" applyFill="1" applyBorder="1" applyAlignment="1">
      <alignment horizontal="left" vertical="center"/>
    </xf>
    <xf numFmtId="0" fontId="10" fillId="0" borderId="22" xfId="2" applyFont="1" applyBorder="1" applyAlignment="1">
      <alignment horizontal="center" vertical="center"/>
    </xf>
    <xf numFmtId="0" fontId="1" fillId="0" borderId="26" xfId="2" applyBorder="1" applyAlignment="1">
      <alignment horizontal="center" vertical="center"/>
    </xf>
    <xf numFmtId="0" fontId="1" fillId="0" borderId="27" xfId="2" applyBorder="1" applyAlignment="1">
      <alignment horizontal="center" vertical="center"/>
    </xf>
    <xf numFmtId="0" fontId="1" fillId="0" borderId="4" xfId="2" applyBorder="1" applyAlignment="1">
      <alignment horizontal="center" vertical="center"/>
    </xf>
    <xf numFmtId="0" fontId="1" fillId="0" borderId="0" xfId="2" applyAlignment="1">
      <alignment horizontal="center" vertical="center"/>
    </xf>
    <xf numFmtId="0" fontId="1" fillId="0" borderId="28" xfId="2" applyBorder="1" applyAlignment="1">
      <alignment horizontal="center" vertical="center"/>
    </xf>
    <xf numFmtId="0" fontId="1" fillId="0" borderId="6" xfId="2" applyBorder="1" applyAlignment="1">
      <alignment horizontal="center" vertical="center"/>
    </xf>
    <xf numFmtId="0" fontId="1" fillId="0" borderId="29" xfId="2" applyBorder="1" applyAlignment="1">
      <alignment horizontal="center" vertical="center"/>
    </xf>
    <xf numFmtId="0" fontId="1" fillId="0" borderId="30" xfId="2" applyBorder="1" applyAlignment="1">
      <alignment horizontal="center" vertical="center"/>
    </xf>
    <xf numFmtId="0" fontId="9" fillId="2" borderId="16" xfId="2" applyFont="1" applyFill="1" applyBorder="1" applyAlignment="1">
      <alignment horizontal="center" vertical="center"/>
    </xf>
    <xf numFmtId="0" fontId="1" fillId="0" borderId="18" xfId="2" applyFill="1" applyBorder="1" applyAlignment="1">
      <alignment horizontal="center" vertical="center" wrapText="1"/>
    </xf>
    <xf numFmtId="0" fontId="0" fillId="3" borderId="17" xfId="0" applyFill="1" applyBorder="1" applyAlignment="1">
      <alignment horizontal="center" vertical="center"/>
    </xf>
    <xf numFmtId="3" fontId="0" fillId="3" borderId="17" xfId="0" applyNumberForma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0" fillId="3" borderId="18" xfId="0" applyFont="1" applyFill="1" applyBorder="1" applyAlignment="1">
      <alignment horizontal="center" vertical="center"/>
    </xf>
    <xf numFmtId="0" fontId="20" fillId="3" borderId="16" xfId="0" applyFont="1" applyFill="1" applyBorder="1" applyAlignment="1">
      <alignment horizontal="center" vertical="center"/>
    </xf>
    <xf numFmtId="0" fontId="35" fillId="3" borderId="18" xfId="0" applyFont="1" applyFill="1" applyBorder="1" applyAlignment="1">
      <alignment horizontal="center" vertical="center"/>
    </xf>
    <xf numFmtId="0" fontId="24" fillId="0" borderId="17" xfId="3" applyFont="1" applyBorder="1" applyAlignment="1">
      <alignment horizontal="center" vertical="center"/>
    </xf>
    <xf numFmtId="0" fontId="27" fillId="0" borderId="17" xfId="3" applyFont="1" applyBorder="1" applyAlignment="1">
      <alignment horizontal="center" vertical="center"/>
    </xf>
  </cellXfs>
  <cellStyles count="5">
    <cellStyle name="常规" xfId="0" builtinId="0"/>
    <cellStyle name="常规 2" xfId="1"/>
    <cellStyle name="常规 3" xfId="2"/>
    <cellStyle name="常规 4" xfId="3"/>
    <cellStyle name="超链接" xfId="4" builtinId="8"/>
  </cellStyles>
  <dxfs count="1"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1581150</xdr:colOff>
          <xdr:row>0</xdr:row>
          <xdr:rowOff>38100</xdr:rowOff>
        </xdr:from>
        <xdr:to>
          <xdr:col>5</xdr:col>
          <xdr:colOff>2257425</xdr:colOff>
          <xdr:row>1</xdr:row>
          <xdr:rowOff>152400</xdr:rowOff>
        </xdr:to>
        <xdr:sp macro="" textlink="">
          <xdr:nvSpPr>
            <xdr:cNvPr id="1025" name="CB_Maillis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hyperlink" Target="mailto:maple_lufeng@163.com" TargetMode="External"/><Relationship Id="rId18" Type="http://schemas.openxmlformats.org/officeDocument/2006/relationships/hyperlink" Target="mailto:oceanwavehuang@gmail.com" TargetMode="External"/><Relationship Id="rId26" Type="http://schemas.openxmlformats.org/officeDocument/2006/relationships/hyperlink" Target="mailto:kingboxking@vip.qq.com" TargetMode="External"/><Relationship Id="rId39" Type="http://schemas.openxmlformats.org/officeDocument/2006/relationships/hyperlink" Target="mailto:a-sky-milujite@qq.com" TargetMode="External"/><Relationship Id="rId21" Type="http://schemas.openxmlformats.org/officeDocument/2006/relationships/hyperlink" Target="mailto:lihui4512z@hotmail.com" TargetMode="External"/><Relationship Id="rId34" Type="http://schemas.openxmlformats.org/officeDocument/2006/relationships/hyperlink" Target="mailto:adelecyp@hotmail.com" TargetMode="External"/><Relationship Id="rId42" Type="http://schemas.openxmlformats.org/officeDocument/2006/relationships/hyperlink" Target="mailto:754476292@qq.com" TargetMode="External"/><Relationship Id="rId47" Type="http://schemas.openxmlformats.org/officeDocument/2006/relationships/vmlDrawing" Target="../drawings/vmlDrawing1.vml"/><Relationship Id="rId7" Type="http://schemas.openxmlformats.org/officeDocument/2006/relationships/hyperlink" Target="mailto:liyanfei_1221@126.com" TargetMode="External"/><Relationship Id="rId2" Type="http://schemas.openxmlformats.org/officeDocument/2006/relationships/hyperlink" Target="mailto:wxl529425@163.com" TargetMode="External"/><Relationship Id="rId16" Type="http://schemas.openxmlformats.org/officeDocument/2006/relationships/hyperlink" Target="mailto:836684894@qq.com" TargetMode="External"/><Relationship Id="rId29" Type="http://schemas.openxmlformats.org/officeDocument/2006/relationships/hyperlink" Target="mailto:826669484@qq.com" TargetMode="External"/><Relationship Id="rId11" Type="http://schemas.openxmlformats.org/officeDocument/2006/relationships/hyperlink" Target="mailto:654824073@qq.com" TargetMode="External"/><Relationship Id="rId24" Type="http://schemas.openxmlformats.org/officeDocument/2006/relationships/hyperlink" Target="mailto:234610666@qq.com" TargetMode="External"/><Relationship Id="rId32" Type="http://schemas.openxmlformats.org/officeDocument/2006/relationships/hyperlink" Target="mailto:527465017@qq.com" TargetMode="External"/><Relationship Id="rId37" Type="http://schemas.openxmlformats.org/officeDocument/2006/relationships/hyperlink" Target="mailto:616106961@qq.com" TargetMode="External"/><Relationship Id="rId40" Type="http://schemas.openxmlformats.org/officeDocument/2006/relationships/hyperlink" Target="mailto:lu4799096@qq.com" TargetMode="External"/><Relationship Id="rId45" Type="http://schemas.openxmlformats.org/officeDocument/2006/relationships/printerSettings" Target="../printerSettings/printerSettings10.bin"/><Relationship Id="rId5" Type="http://schemas.openxmlformats.org/officeDocument/2006/relationships/hyperlink" Target="mailto:qinjiwei0105@163.com" TargetMode="External"/><Relationship Id="rId15" Type="http://schemas.openxmlformats.org/officeDocument/2006/relationships/hyperlink" Target="mailto:haxiu_shy@126.com" TargetMode="External"/><Relationship Id="rId23" Type="http://schemas.openxmlformats.org/officeDocument/2006/relationships/hyperlink" Target="mailto:falseair@qq.com" TargetMode="External"/><Relationship Id="rId28" Type="http://schemas.openxmlformats.org/officeDocument/2006/relationships/hyperlink" Target="mailto:dongxin1989dx@yahoo.cn" TargetMode="External"/><Relationship Id="rId36" Type="http://schemas.openxmlformats.org/officeDocument/2006/relationships/hyperlink" Target="mailto:xiaoli-_-yan@qq.com" TargetMode="External"/><Relationship Id="rId49" Type="http://schemas.openxmlformats.org/officeDocument/2006/relationships/image" Target="../media/image1.emf"/><Relationship Id="rId10" Type="http://schemas.openxmlformats.org/officeDocument/2006/relationships/hyperlink" Target="mailto:huangping_1988.12@hotmail.com" TargetMode="External"/><Relationship Id="rId19" Type="http://schemas.openxmlformats.org/officeDocument/2006/relationships/hyperlink" Target="mailto:zy7800931@126.com" TargetMode="External"/><Relationship Id="rId31" Type="http://schemas.openxmlformats.org/officeDocument/2006/relationships/hyperlink" Target="mailto:704613847@qq.com" TargetMode="External"/><Relationship Id="rId44" Type="http://schemas.openxmlformats.org/officeDocument/2006/relationships/hyperlink" Target="mailto:ruby.ha.ppy@163.com" TargetMode="External"/><Relationship Id="rId4" Type="http://schemas.openxmlformats.org/officeDocument/2006/relationships/hyperlink" Target="mailto:magico921@qq.com" TargetMode="External"/><Relationship Id="rId9" Type="http://schemas.openxmlformats.org/officeDocument/2006/relationships/hyperlink" Target="mailto:806795152@qq.com" TargetMode="External"/><Relationship Id="rId14" Type="http://schemas.openxmlformats.org/officeDocument/2006/relationships/hyperlink" Target="mailto:wuyunjie6352482@qq.com" TargetMode="External"/><Relationship Id="rId22" Type="http://schemas.openxmlformats.org/officeDocument/2006/relationships/hyperlink" Target="mailto:wxdcherry@qq.com" TargetMode="External"/><Relationship Id="rId27" Type="http://schemas.openxmlformats.org/officeDocument/2006/relationships/hyperlink" Target="mailto:13814981037@163.com" TargetMode="External"/><Relationship Id="rId30" Type="http://schemas.openxmlformats.org/officeDocument/2006/relationships/hyperlink" Target="mailto:emovip@qq.com" TargetMode="External"/><Relationship Id="rId35" Type="http://schemas.openxmlformats.org/officeDocument/2006/relationships/hyperlink" Target="mailto:gujingqi@qq.com" TargetMode="External"/><Relationship Id="rId43" Type="http://schemas.openxmlformats.org/officeDocument/2006/relationships/hyperlink" Target="mailto:lllccclllccclll@live.cn" TargetMode="External"/><Relationship Id="rId48" Type="http://schemas.openxmlformats.org/officeDocument/2006/relationships/control" Target="../activeX/activeX1.xml"/><Relationship Id="rId8" Type="http://schemas.openxmlformats.org/officeDocument/2006/relationships/hyperlink" Target="mailto:tang8811@qq.com" TargetMode="External"/><Relationship Id="rId3" Type="http://schemas.openxmlformats.org/officeDocument/2006/relationships/hyperlink" Target="mailto:317412590@qq.com" TargetMode="External"/><Relationship Id="rId12" Type="http://schemas.openxmlformats.org/officeDocument/2006/relationships/hyperlink" Target="mailto:stonea77@qq.com" TargetMode="External"/><Relationship Id="rId17" Type="http://schemas.openxmlformats.org/officeDocument/2006/relationships/hyperlink" Target="mailto:wuchangqiu805@163.com" TargetMode="External"/><Relationship Id="rId25" Type="http://schemas.openxmlformats.org/officeDocument/2006/relationships/hyperlink" Target="mailto:zyb@hialbin.cn" TargetMode="External"/><Relationship Id="rId33" Type="http://schemas.openxmlformats.org/officeDocument/2006/relationships/hyperlink" Target="mailto:674733446@qq.com;" TargetMode="External"/><Relationship Id="rId38" Type="http://schemas.openxmlformats.org/officeDocument/2006/relationships/hyperlink" Target="mailto:865497689@qq.com" TargetMode="External"/><Relationship Id="rId46" Type="http://schemas.openxmlformats.org/officeDocument/2006/relationships/drawing" Target="../drawings/drawing1.xml"/><Relationship Id="rId20" Type="http://schemas.openxmlformats.org/officeDocument/2006/relationships/hyperlink" Target="mailto:shaoyufeng_123@hotmail.com" TargetMode="External"/><Relationship Id="rId41" Type="http://schemas.openxmlformats.org/officeDocument/2006/relationships/hyperlink" Target="mailto:125shenkai308@sina.com" TargetMode="External"/><Relationship Id="rId1" Type="http://schemas.openxmlformats.org/officeDocument/2006/relationships/hyperlink" Target="mailto:872387079@qq.com" TargetMode="External"/><Relationship Id="rId6" Type="http://schemas.openxmlformats.org/officeDocument/2006/relationships/hyperlink" Target="mailto:478877726@qq.com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O124"/>
  <sheetViews>
    <sheetView tabSelected="1" view="pageBreakPreview" topLeftCell="A31" zoomScaleNormal="100" zoomScaleSheetLayoutView="100" workbookViewId="0">
      <selection activeCell="A40" sqref="A40:AO40"/>
    </sheetView>
  </sheetViews>
  <sheetFormatPr defaultRowHeight="13.5" x14ac:dyDescent="0.15"/>
  <cols>
    <col min="1" max="41" width="2.125" customWidth="1"/>
  </cols>
  <sheetData>
    <row r="1" spans="1:41" x14ac:dyDescent="0.15">
      <c r="A1" s="135" t="s">
        <v>776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5"/>
      <c r="V1" s="135"/>
      <c r="W1" s="135"/>
      <c r="X1" s="135"/>
      <c r="Y1" s="135"/>
      <c r="Z1" s="135"/>
      <c r="AA1" s="135"/>
      <c r="AB1" s="135"/>
      <c r="AC1" s="135"/>
      <c r="AD1" s="135"/>
      <c r="AE1" s="135"/>
      <c r="AF1" s="135"/>
      <c r="AG1" s="135"/>
      <c r="AH1" s="135"/>
      <c r="AI1" s="135"/>
      <c r="AJ1" s="135"/>
      <c r="AK1" s="135"/>
      <c r="AL1" s="135"/>
      <c r="AM1" s="135"/>
      <c r="AN1" s="135"/>
      <c r="AO1" s="135"/>
    </row>
    <row r="2" spans="1:41" x14ac:dyDescent="0.15">
      <c r="A2" s="133" t="s">
        <v>777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133"/>
      <c r="AB2" s="133"/>
      <c r="AC2" s="133"/>
      <c r="AD2" s="133"/>
      <c r="AE2" s="133"/>
      <c r="AF2" s="133"/>
      <c r="AG2" s="133"/>
      <c r="AH2" s="133"/>
      <c r="AI2" s="133"/>
      <c r="AJ2" s="133"/>
      <c r="AK2" s="133"/>
      <c r="AL2" s="133"/>
      <c r="AM2" s="133"/>
      <c r="AN2" s="133"/>
      <c r="AO2" s="133"/>
    </row>
    <row r="3" spans="1:41" x14ac:dyDescent="0.15">
      <c r="A3" s="134" t="s">
        <v>778</v>
      </c>
      <c r="B3" s="136"/>
      <c r="C3" s="136"/>
      <c r="D3" s="136"/>
      <c r="E3" s="136"/>
      <c r="F3" s="136"/>
      <c r="G3" s="136"/>
      <c r="H3" s="136"/>
      <c r="I3" s="136"/>
      <c r="J3" s="136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136"/>
      <c r="W3" s="136"/>
      <c r="X3" s="136"/>
      <c r="Y3" s="136"/>
      <c r="Z3" s="136"/>
      <c r="AA3" s="136"/>
      <c r="AB3" s="136"/>
      <c r="AC3" s="136"/>
      <c r="AD3" s="136"/>
      <c r="AE3" s="136"/>
      <c r="AF3" s="136"/>
      <c r="AG3" s="136"/>
      <c r="AH3" s="136"/>
      <c r="AI3" s="136"/>
      <c r="AJ3" s="136"/>
      <c r="AK3" s="136"/>
      <c r="AL3" s="136"/>
      <c r="AM3" s="136"/>
      <c r="AN3" s="136"/>
      <c r="AO3" s="136"/>
    </row>
    <row r="4" spans="1:41" x14ac:dyDescent="0.15">
      <c r="A4" s="132" t="s">
        <v>779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1"/>
    </row>
    <row r="5" spans="1:41" x14ac:dyDescent="0.15">
      <c r="A5" s="131"/>
      <c r="B5" s="131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  <c r="AH5" s="131"/>
      <c r="AI5" s="131"/>
      <c r="AJ5" s="131"/>
      <c r="AK5" s="131"/>
      <c r="AL5" s="131"/>
      <c r="AM5" s="131"/>
      <c r="AN5" s="131"/>
      <c r="AO5" s="131"/>
    </row>
    <row r="6" spans="1:41" x14ac:dyDescent="0.15">
      <c r="A6" s="131"/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  <c r="AH6" s="131"/>
      <c r="AI6" s="131"/>
      <c r="AJ6" s="131"/>
      <c r="AK6" s="131"/>
      <c r="AL6" s="131"/>
      <c r="AM6" s="131"/>
      <c r="AN6" s="131"/>
      <c r="AO6" s="131"/>
    </row>
    <row r="7" spans="1:41" x14ac:dyDescent="0.15">
      <c r="A7" s="131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</row>
    <row r="8" spans="1:41" x14ac:dyDescent="0.15">
      <c r="A8" s="131"/>
      <c r="B8" s="131"/>
      <c r="C8" s="131"/>
      <c r="D8" s="131"/>
      <c r="E8" s="131"/>
      <c r="F8" s="131"/>
      <c r="G8" s="131"/>
      <c r="H8" s="131"/>
      <c r="I8" s="131"/>
      <c r="J8" s="131"/>
      <c r="K8" s="131"/>
      <c r="L8" s="131"/>
      <c r="M8" s="131"/>
      <c r="N8" s="131"/>
      <c r="O8" s="131"/>
      <c r="P8" s="131"/>
      <c r="Q8" s="131"/>
      <c r="R8" s="131"/>
      <c r="S8" s="131"/>
      <c r="T8" s="131"/>
      <c r="U8" s="131"/>
      <c r="V8" s="131"/>
      <c r="W8" s="131"/>
      <c r="X8" s="131"/>
      <c r="Y8" s="131"/>
      <c r="Z8" s="131"/>
      <c r="AA8" s="131"/>
      <c r="AB8" s="131"/>
      <c r="AC8" s="131"/>
      <c r="AD8" s="131"/>
      <c r="AE8" s="131"/>
      <c r="AF8" s="131"/>
      <c r="AG8" s="131"/>
      <c r="AH8" s="131"/>
      <c r="AI8" s="131"/>
      <c r="AJ8" s="131"/>
      <c r="AK8" s="131"/>
      <c r="AL8" s="131"/>
      <c r="AM8" s="131"/>
      <c r="AN8" s="131"/>
      <c r="AO8" s="131"/>
    </row>
    <row r="9" spans="1:41" x14ac:dyDescent="0.15">
      <c r="A9" s="131"/>
      <c r="B9" s="131"/>
      <c r="C9" s="131"/>
      <c r="D9" s="131"/>
      <c r="E9" s="131"/>
      <c r="F9" s="131"/>
      <c r="G9" s="131"/>
      <c r="H9" s="131"/>
      <c r="I9" s="131"/>
      <c r="J9" s="131"/>
      <c r="K9" s="131"/>
      <c r="L9" s="131"/>
      <c r="M9" s="131"/>
      <c r="N9" s="131"/>
      <c r="O9" s="131"/>
      <c r="P9" s="131"/>
      <c r="Q9" s="131"/>
      <c r="R9" s="131"/>
      <c r="S9" s="131"/>
      <c r="T9" s="131"/>
      <c r="U9" s="131"/>
      <c r="V9" s="131"/>
      <c r="W9" s="131"/>
      <c r="X9" s="131"/>
      <c r="Y9" s="131"/>
      <c r="Z9" s="131"/>
      <c r="AA9" s="131"/>
      <c r="AB9" s="131"/>
      <c r="AC9" s="131"/>
      <c r="AD9" s="131"/>
      <c r="AE9" s="131"/>
      <c r="AF9" s="131"/>
      <c r="AG9" s="131"/>
      <c r="AH9" s="131"/>
      <c r="AI9" s="131"/>
      <c r="AJ9" s="131"/>
      <c r="AK9" s="131"/>
      <c r="AL9" s="131"/>
      <c r="AM9" s="131"/>
      <c r="AN9" s="131"/>
      <c r="AO9" s="131"/>
    </row>
    <row r="10" spans="1:41" x14ac:dyDescent="0.15">
      <c r="A10" s="131"/>
      <c r="B10" s="131"/>
      <c r="C10" s="131"/>
      <c r="D10" s="131"/>
      <c r="E10" s="131"/>
      <c r="F10" s="131"/>
      <c r="G10" s="131"/>
      <c r="H10" s="131"/>
      <c r="I10" s="131"/>
      <c r="J10" s="131"/>
      <c r="K10" s="131"/>
      <c r="L10" s="131"/>
      <c r="M10" s="131"/>
      <c r="N10" s="131"/>
      <c r="O10" s="131"/>
      <c r="P10" s="131"/>
      <c r="Q10" s="131"/>
      <c r="R10" s="131"/>
      <c r="S10" s="131"/>
      <c r="T10" s="131"/>
      <c r="U10" s="131"/>
      <c r="V10" s="131"/>
      <c r="W10" s="131"/>
      <c r="X10" s="131"/>
      <c r="Y10" s="131"/>
      <c r="Z10" s="131"/>
      <c r="AA10" s="131"/>
      <c r="AB10" s="131"/>
      <c r="AC10" s="131"/>
      <c r="AD10" s="131"/>
      <c r="AE10" s="131"/>
      <c r="AF10" s="131"/>
      <c r="AG10" s="131"/>
      <c r="AH10" s="131"/>
      <c r="AI10" s="131"/>
      <c r="AJ10" s="131"/>
      <c r="AK10" s="131"/>
      <c r="AL10" s="131"/>
      <c r="AM10" s="131"/>
      <c r="AN10" s="131"/>
      <c r="AO10" s="131"/>
    </row>
    <row r="11" spans="1:41" x14ac:dyDescent="0.15">
      <c r="A11" s="131"/>
      <c r="B11" s="131"/>
      <c r="C11" s="131"/>
      <c r="D11" s="131"/>
      <c r="E11" s="131"/>
      <c r="F11" s="131"/>
      <c r="G11" s="131"/>
      <c r="H11" s="131"/>
      <c r="I11" s="131"/>
      <c r="J11" s="131"/>
      <c r="K11" s="131"/>
      <c r="L11" s="131"/>
      <c r="M11" s="131"/>
      <c r="N11" s="131"/>
      <c r="O11" s="131"/>
      <c r="P11" s="131"/>
      <c r="Q11" s="131"/>
      <c r="R11" s="131"/>
      <c r="S11" s="131"/>
      <c r="T11" s="131"/>
      <c r="U11" s="131"/>
      <c r="V11" s="131"/>
      <c r="W11" s="131"/>
      <c r="X11" s="131"/>
      <c r="Y11" s="131"/>
      <c r="Z11" s="131"/>
      <c r="AA11" s="131"/>
      <c r="AB11" s="131"/>
      <c r="AC11" s="131"/>
      <c r="AD11" s="131"/>
      <c r="AE11" s="131"/>
      <c r="AF11" s="131"/>
      <c r="AG11" s="131"/>
      <c r="AH11" s="131"/>
      <c r="AI11" s="131"/>
      <c r="AJ11" s="131"/>
      <c r="AK11" s="131"/>
      <c r="AL11" s="131"/>
      <c r="AM11" s="131"/>
      <c r="AN11" s="131"/>
      <c r="AO11" s="131"/>
    </row>
    <row r="12" spans="1:41" x14ac:dyDescent="0.15">
      <c r="A12" s="131"/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</row>
    <row r="13" spans="1:41" x14ac:dyDescent="0.15">
      <c r="A13" s="131"/>
      <c r="B13" s="131"/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1"/>
      <c r="P13" s="131"/>
      <c r="Q13" s="131"/>
      <c r="R13" s="131"/>
      <c r="S13" s="131"/>
      <c r="T13" s="131"/>
      <c r="U13" s="131"/>
      <c r="V13" s="131"/>
      <c r="W13" s="131"/>
      <c r="X13" s="131"/>
      <c r="Y13" s="131"/>
      <c r="Z13" s="131"/>
      <c r="AA13" s="131"/>
      <c r="AB13" s="131"/>
      <c r="AC13" s="131"/>
      <c r="AD13" s="131"/>
      <c r="AE13" s="131"/>
      <c r="AF13" s="131"/>
      <c r="AG13" s="131"/>
      <c r="AH13" s="131"/>
      <c r="AI13" s="131"/>
      <c r="AJ13" s="131"/>
      <c r="AK13" s="131"/>
      <c r="AL13" s="131"/>
      <c r="AM13" s="131"/>
      <c r="AN13" s="131"/>
      <c r="AO13" s="131"/>
    </row>
    <row r="14" spans="1:41" x14ac:dyDescent="0.15">
      <c r="A14" s="131"/>
      <c r="B14" s="131"/>
      <c r="C14" s="131"/>
      <c r="D14" s="131"/>
      <c r="E14" s="131"/>
      <c r="F14" s="131"/>
      <c r="G14" s="131"/>
      <c r="H14" s="131"/>
      <c r="I14" s="131"/>
      <c r="J14" s="131"/>
      <c r="K14" s="131"/>
      <c r="L14" s="131"/>
      <c r="M14" s="131"/>
      <c r="N14" s="131"/>
      <c r="O14" s="131"/>
      <c r="P14" s="131"/>
      <c r="Q14" s="131"/>
      <c r="R14" s="131"/>
      <c r="S14" s="131"/>
      <c r="T14" s="131"/>
      <c r="U14" s="131"/>
      <c r="V14" s="131"/>
      <c r="W14" s="131"/>
      <c r="X14" s="131"/>
      <c r="Y14" s="131"/>
      <c r="Z14" s="131"/>
      <c r="AA14" s="131"/>
      <c r="AB14" s="131"/>
      <c r="AC14" s="131"/>
      <c r="AD14" s="131"/>
      <c r="AE14" s="131"/>
      <c r="AF14" s="131"/>
      <c r="AG14" s="131"/>
      <c r="AH14" s="131"/>
      <c r="AI14" s="131"/>
      <c r="AJ14" s="131"/>
      <c r="AK14" s="131"/>
      <c r="AL14" s="131"/>
      <c r="AM14" s="131"/>
      <c r="AN14" s="131"/>
      <c r="AO14" s="131"/>
    </row>
    <row r="15" spans="1:41" x14ac:dyDescent="0.15">
      <c r="A15" s="133" t="s">
        <v>780</v>
      </c>
      <c r="B15" s="133"/>
      <c r="C15" s="133"/>
      <c r="D15" s="133"/>
      <c r="E15" s="133"/>
      <c r="F15" s="133"/>
      <c r="G15" s="133"/>
      <c r="H15" s="133"/>
      <c r="I15" s="133"/>
      <c r="J15" s="133"/>
      <c r="K15" s="133"/>
      <c r="L15" s="133"/>
      <c r="M15" s="133"/>
      <c r="N15" s="133"/>
      <c r="O15" s="133"/>
      <c r="P15" s="133"/>
      <c r="Q15" s="133"/>
      <c r="R15" s="133"/>
      <c r="S15" s="133"/>
      <c r="T15" s="133"/>
      <c r="U15" s="133"/>
      <c r="V15" s="133"/>
      <c r="W15" s="133"/>
      <c r="X15" s="133"/>
      <c r="Y15" s="133"/>
      <c r="Z15" s="133"/>
      <c r="AA15" s="133"/>
      <c r="AB15" s="133"/>
      <c r="AC15" s="133"/>
      <c r="AD15" s="133"/>
      <c r="AE15" s="133"/>
      <c r="AF15" s="133"/>
      <c r="AG15" s="133"/>
      <c r="AH15" s="133"/>
      <c r="AI15" s="133"/>
      <c r="AJ15" s="133"/>
      <c r="AK15" s="133"/>
      <c r="AL15" s="133"/>
      <c r="AM15" s="133"/>
      <c r="AN15" s="133"/>
      <c r="AO15" s="133"/>
    </row>
    <row r="16" spans="1:41" x14ac:dyDescent="0.15">
      <c r="A16" s="131"/>
      <c r="B16" s="131"/>
      <c r="C16" s="131"/>
      <c r="D16" s="131"/>
      <c r="E16" s="131"/>
      <c r="F16" s="131"/>
      <c r="G16" s="131"/>
      <c r="H16" s="131"/>
      <c r="I16" s="131"/>
      <c r="J16" s="131"/>
      <c r="K16" s="131"/>
      <c r="L16" s="131"/>
      <c r="M16" s="131"/>
      <c r="N16" s="131"/>
      <c r="O16" s="131"/>
      <c r="P16" s="131"/>
      <c r="Q16" s="131"/>
      <c r="R16" s="131"/>
      <c r="S16" s="131"/>
      <c r="T16" s="131"/>
      <c r="U16" s="131"/>
      <c r="V16" s="131"/>
      <c r="W16" s="131"/>
      <c r="X16" s="131"/>
      <c r="Y16" s="131"/>
      <c r="Z16" s="131"/>
      <c r="AA16" s="131"/>
      <c r="AB16" s="131"/>
      <c r="AC16" s="131"/>
      <c r="AD16" s="131"/>
      <c r="AE16" s="131"/>
      <c r="AF16" s="131"/>
      <c r="AG16" s="131"/>
      <c r="AH16" s="131"/>
      <c r="AI16" s="131"/>
      <c r="AJ16" s="131"/>
      <c r="AK16" s="131"/>
      <c r="AL16" s="131"/>
      <c r="AM16" s="131"/>
      <c r="AN16" s="131"/>
      <c r="AO16" s="131"/>
    </row>
    <row r="17" spans="1:41" x14ac:dyDescent="0.15">
      <c r="A17" s="131"/>
      <c r="B17" s="131"/>
      <c r="C17" s="131"/>
      <c r="D17" s="131"/>
      <c r="E17" s="131"/>
      <c r="F17" s="131"/>
      <c r="G17" s="131"/>
      <c r="H17" s="131"/>
      <c r="I17" s="131"/>
      <c r="J17" s="131"/>
      <c r="K17" s="131"/>
      <c r="L17" s="131"/>
      <c r="M17" s="131"/>
      <c r="N17" s="131"/>
      <c r="O17" s="131"/>
      <c r="P17" s="131"/>
      <c r="Q17" s="131"/>
      <c r="R17" s="131"/>
      <c r="S17" s="131"/>
      <c r="T17" s="131"/>
      <c r="U17" s="131"/>
      <c r="V17" s="131"/>
      <c r="W17" s="131"/>
      <c r="X17" s="131"/>
      <c r="Y17" s="131"/>
      <c r="Z17" s="131"/>
      <c r="AA17" s="131"/>
      <c r="AB17" s="131"/>
      <c r="AC17" s="131"/>
      <c r="AD17" s="131"/>
      <c r="AE17" s="131"/>
      <c r="AF17" s="131"/>
      <c r="AG17" s="131"/>
      <c r="AH17" s="131"/>
      <c r="AI17" s="131"/>
      <c r="AJ17" s="131"/>
      <c r="AK17" s="131"/>
      <c r="AL17" s="131"/>
      <c r="AM17" s="131"/>
      <c r="AN17" s="131"/>
      <c r="AO17" s="131"/>
    </row>
    <row r="18" spans="1:41" x14ac:dyDescent="0.15">
      <c r="A18" s="131"/>
      <c r="B18" s="131"/>
      <c r="C18" s="131"/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</row>
    <row r="19" spans="1:41" x14ac:dyDescent="0.15">
      <c r="A19" s="131"/>
      <c r="B19" s="131"/>
      <c r="C19" s="131"/>
      <c r="D19" s="131"/>
      <c r="E19" s="131"/>
      <c r="F19" s="131"/>
      <c r="G19" s="131"/>
      <c r="H19" s="131"/>
      <c r="I19" s="131"/>
      <c r="J19" s="131"/>
      <c r="K19" s="131"/>
      <c r="L19" s="131"/>
      <c r="M19" s="131"/>
      <c r="N19" s="131"/>
      <c r="O19" s="131"/>
      <c r="P19" s="131"/>
      <c r="Q19" s="131"/>
      <c r="R19" s="131"/>
      <c r="S19" s="131"/>
      <c r="T19" s="131"/>
      <c r="U19" s="131"/>
      <c r="V19" s="131"/>
      <c r="W19" s="131"/>
      <c r="X19" s="131"/>
      <c r="Y19" s="131"/>
      <c r="Z19" s="131"/>
      <c r="AA19" s="131"/>
      <c r="AB19" s="131"/>
      <c r="AC19" s="131"/>
      <c r="AD19" s="131"/>
      <c r="AE19" s="131"/>
      <c r="AF19" s="131"/>
      <c r="AG19" s="131"/>
      <c r="AH19" s="131"/>
      <c r="AI19" s="131"/>
      <c r="AJ19" s="131"/>
      <c r="AK19" s="131"/>
      <c r="AL19" s="131"/>
      <c r="AM19" s="131"/>
      <c r="AN19" s="131"/>
      <c r="AO19" s="131"/>
    </row>
    <row r="20" spans="1:41" x14ac:dyDescent="0.15">
      <c r="A20" s="131"/>
      <c r="B20" s="131"/>
      <c r="C20" s="131"/>
      <c r="D20" s="131"/>
      <c r="E20" s="131"/>
      <c r="F20" s="131"/>
      <c r="G20" s="131"/>
      <c r="H20" s="131"/>
      <c r="I20" s="131"/>
      <c r="J20" s="131"/>
      <c r="K20" s="131"/>
      <c r="L20" s="131"/>
      <c r="M20" s="131"/>
      <c r="N20" s="131"/>
      <c r="O20" s="131"/>
      <c r="P20" s="131"/>
      <c r="Q20" s="131"/>
      <c r="R20" s="131"/>
      <c r="S20" s="131"/>
      <c r="T20" s="131"/>
      <c r="U20" s="131"/>
      <c r="V20" s="131"/>
      <c r="W20" s="131"/>
      <c r="X20" s="131"/>
      <c r="Y20" s="131"/>
      <c r="Z20" s="131"/>
      <c r="AA20" s="131"/>
      <c r="AB20" s="131"/>
      <c r="AC20" s="131"/>
      <c r="AD20" s="131"/>
      <c r="AE20" s="131"/>
      <c r="AF20" s="131"/>
      <c r="AG20" s="131"/>
      <c r="AH20" s="131"/>
      <c r="AI20" s="131"/>
      <c r="AJ20" s="131"/>
      <c r="AK20" s="131"/>
      <c r="AL20" s="131"/>
      <c r="AM20" s="131"/>
      <c r="AN20" s="131"/>
      <c r="AO20" s="131"/>
    </row>
    <row r="21" spans="1:41" x14ac:dyDescent="0.15">
      <c r="A21" s="131"/>
      <c r="B21" s="131"/>
      <c r="C21" s="131"/>
      <c r="D21" s="131"/>
      <c r="E21" s="131"/>
      <c r="F21" s="131"/>
      <c r="G21" s="131"/>
      <c r="H21" s="131"/>
      <c r="I21" s="131"/>
      <c r="J21" s="131"/>
      <c r="K21" s="131"/>
      <c r="L21" s="131"/>
      <c r="M21" s="131"/>
      <c r="N21" s="131"/>
      <c r="O21" s="131"/>
      <c r="P21" s="131"/>
      <c r="Q21" s="131"/>
      <c r="R21" s="131"/>
      <c r="S21" s="131"/>
      <c r="T21" s="131"/>
      <c r="U21" s="131"/>
      <c r="V21" s="131"/>
      <c r="W21" s="131"/>
      <c r="X21" s="131"/>
      <c r="Y21" s="131"/>
      <c r="Z21" s="131"/>
      <c r="AA21" s="131"/>
      <c r="AB21" s="131"/>
      <c r="AC21" s="131"/>
      <c r="AD21" s="131"/>
      <c r="AE21" s="131"/>
      <c r="AF21" s="131"/>
      <c r="AG21" s="131"/>
      <c r="AH21" s="131"/>
      <c r="AI21" s="131"/>
      <c r="AJ21" s="131"/>
      <c r="AK21" s="131"/>
      <c r="AL21" s="131"/>
      <c r="AM21" s="131"/>
      <c r="AN21" s="131"/>
      <c r="AO21" s="131"/>
    </row>
    <row r="22" spans="1:41" x14ac:dyDescent="0.15">
      <c r="A22" s="131"/>
      <c r="B22" s="131"/>
      <c r="C22" s="131"/>
      <c r="D22" s="131"/>
      <c r="E22" s="131"/>
      <c r="F22" s="131"/>
      <c r="G22" s="131"/>
      <c r="H22" s="131"/>
      <c r="I22" s="131"/>
      <c r="J22" s="131"/>
      <c r="K22" s="131"/>
      <c r="L22" s="131"/>
      <c r="M22" s="131"/>
      <c r="N22" s="131"/>
      <c r="O22" s="131"/>
      <c r="P22" s="131"/>
      <c r="Q22" s="131"/>
      <c r="R22" s="131"/>
      <c r="S22" s="131"/>
      <c r="T22" s="131"/>
      <c r="U22" s="131"/>
      <c r="V22" s="131"/>
      <c r="W22" s="131"/>
      <c r="X22" s="131"/>
      <c r="Y22" s="131"/>
      <c r="Z22" s="131"/>
      <c r="AA22" s="131"/>
      <c r="AB22" s="131"/>
      <c r="AC22" s="131"/>
      <c r="AD22" s="131"/>
      <c r="AE22" s="131"/>
      <c r="AF22" s="131"/>
      <c r="AG22" s="131"/>
      <c r="AH22" s="131"/>
      <c r="AI22" s="131"/>
      <c r="AJ22" s="131"/>
      <c r="AK22" s="131"/>
      <c r="AL22" s="131"/>
      <c r="AM22" s="131"/>
      <c r="AN22" s="131"/>
      <c r="AO22" s="131"/>
    </row>
    <row r="23" spans="1:41" x14ac:dyDescent="0.15">
      <c r="A23" s="131"/>
      <c r="B23" s="131"/>
      <c r="C23" s="131"/>
      <c r="D23" s="131"/>
      <c r="E23" s="131"/>
      <c r="F23" s="131"/>
      <c r="G23" s="131"/>
      <c r="H23" s="131"/>
      <c r="I23" s="131"/>
      <c r="J23" s="131"/>
      <c r="K23" s="131"/>
      <c r="L23" s="131"/>
      <c r="M23" s="131"/>
      <c r="N23" s="131"/>
      <c r="O23" s="131"/>
      <c r="P23" s="131"/>
      <c r="Q23" s="131"/>
      <c r="R23" s="131"/>
      <c r="S23" s="131"/>
      <c r="T23" s="131"/>
      <c r="U23" s="131"/>
      <c r="V23" s="131"/>
      <c r="W23" s="131"/>
      <c r="X23" s="131"/>
      <c r="Y23" s="131"/>
      <c r="Z23" s="131"/>
      <c r="AA23" s="131"/>
      <c r="AB23" s="131"/>
      <c r="AC23" s="131"/>
      <c r="AD23" s="131"/>
      <c r="AE23" s="131"/>
      <c r="AF23" s="131"/>
      <c r="AG23" s="131"/>
      <c r="AH23" s="131"/>
      <c r="AI23" s="131"/>
      <c r="AJ23" s="131"/>
      <c r="AK23" s="131"/>
      <c r="AL23" s="131"/>
      <c r="AM23" s="131"/>
      <c r="AN23" s="131"/>
      <c r="AO23" s="131"/>
    </row>
    <row r="24" spans="1:41" x14ac:dyDescent="0.15">
      <c r="A24" s="131"/>
      <c r="B24" s="131"/>
      <c r="C24" s="131"/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31"/>
      <c r="O24" s="131"/>
      <c r="P24" s="131"/>
      <c r="Q24" s="131"/>
      <c r="R24" s="131"/>
      <c r="S24" s="131"/>
      <c r="T24" s="131"/>
      <c r="U24" s="131"/>
      <c r="V24" s="131"/>
      <c r="W24" s="131"/>
      <c r="X24" s="131"/>
      <c r="Y24" s="131"/>
      <c r="Z24" s="131"/>
      <c r="AA24" s="131"/>
      <c r="AB24" s="131"/>
      <c r="AC24" s="131"/>
      <c r="AD24" s="131"/>
      <c r="AE24" s="131"/>
      <c r="AF24" s="131"/>
      <c r="AG24" s="131"/>
      <c r="AH24" s="131"/>
      <c r="AI24" s="131"/>
      <c r="AJ24" s="131"/>
      <c r="AK24" s="131"/>
      <c r="AL24" s="131"/>
      <c r="AM24" s="131"/>
      <c r="AN24" s="131"/>
      <c r="AO24" s="131"/>
    </row>
    <row r="25" spans="1:41" x14ac:dyDescent="0.15">
      <c r="A25" s="131"/>
      <c r="B25" s="131"/>
      <c r="C25" s="131"/>
      <c r="D25" s="131"/>
      <c r="E25" s="131"/>
      <c r="F25" s="131"/>
      <c r="G25" s="131"/>
      <c r="H25" s="131"/>
      <c r="I25" s="131"/>
      <c r="J25" s="131"/>
      <c r="K25" s="131"/>
      <c r="L25" s="131"/>
      <c r="M25" s="131"/>
      <c r="N25" s="131"/>
      <c r="O25" s="131"/>
      <c r="P25" s="131"/>
      <c r="Q25" s="131"/>
      <c r="R25" s="131"/>
      <c r="S25" s="131"/>
      <c r="T25" s="131"/>
      <c r="U25" s="131"/>
      <c r="V25" s="131"/>
      <c r="W25" s="131"/>
      <c r="X25" s="131"/>
      <c r="Y25" s="131"/>
      <c r="Z25" s="131"/>
      <c r="AA25" s="131"/>
      <c r="AB25" s="131"/>
      <c r="AC25" s="131"/>
      <c r="AD25" s="131"/>
      <c r="AE25" s="131"/>
      <c r="AF25" s="131"/>
      <c r="AG25" s="131"/>
      <c r="AH25" s="131"/>
      <c r="AI25" s="131"/>
      <c r="AJ25" s="131"/>
      <c r="AK25" s="131"/>
      <c r="AL25" s="131"/>
      <c r="AM25" s="131"/>
      <c r="AN25" s="131"/>
      <c r="AO25" s="131"/>
    </row>
    <row r="26" spans="1:41" x14ac:dyDescent="0.15">
      <c r="A26" s="131"/>
      <c r="B26" s="131"/>
      <c r="C26" s="131"/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1"/>
      <c r="O26" s="131"/>
      <c r="P26" s="131"/>
      <c r="Q26" s="131"/>
      <c r="R26" s="131"/>
      <c r="S26" s="131"/>
      <c r="T26" s="131"/>
      <c r="U26" s="131"/>
      <c r="V26" s="131"/>
      <c r="W26" s="131"/>
      <c r="X26" s="131"/>
      <c r="Y26" s="131"/>
      <c r="Z26" s="131"/>
      <c r="AA26" s="131"/>
      <c r="AB26" s="131"/>
      <c r="AC26" s="131"/>
      <c r="AD26" s="131"/>
      <c r="AE26" s="131"/>
      <c r="AF26" s="131"/>
      <c r="AG26" s="131"/>
      <c r="AH26" s="131"/>
      <c r="AI26" s="131"/>
      <c r="AJ26" s="131"/>
      <c r="AK26" s="131"/>
      <c r="AL26" s="131"/>
      <c r="AM26" s="131"/>
      <c r="AN26" s="131"/>
      <c r="AO26" s="131"/>
    </row>
    <row r="27" spans="1:41" x14ac:dyDescent="0.15">
      <c r="A27" s="131"/>
      <c r="B27" s="131"/>
      <c r="C27" s="131"/>
      <c r="D27" s="131"/>
      <c r="E27" s="131"/>
      <c r="F27" s="131"/>
      <c r="G27" s="131"/>
      <c r="H27" s="131"/>
      <c r="I27" s="131"/>
      <c r="J27" s="131"/>
      <c r="K27" s="131"/>
      <c r="L27" s="131"/>
      <c r="M27" s="131"/>
      <c r="N27" s="131"/>
      <c r="O27" s="131"/>
      <c r="P27" s="131"/>
      <c r="Q27" s="131"/>
      <c r="R27" s="131"/>
      <c r="S27" s="131"/>
      <c r="T27" s="131"/>
      <c r="U27" s="131"/>
      <c r="V27" s="131"/>
      <c r="W27" s="131"/>
      <c r="X27" s="131"/>
      <c r="Y27" s="131"/>
      <c r="Z27" s="131"/>
      <c r="AA27" s="131"/>
      <c r="AB27" s="131"/>
      <c r="AC27" s="131"/>
      <c r="AD27" s="131"/>
      <c r="AE27" s="131"/>
      <c r="AF27" s="131"/>
      <c r="AG27" s="131"/>
      <c r="AH27" s="131"/>
      <c r="AI27" s="131"/>
      <c r="AJ27" s="131"/>
      <c r="AK27" s="131"/>
      <c r="AL27" s="131"/>
      <c r="AM27" s="131"/>
      <c r="AN27" s="131"/>
      <c r="AO27" s="131"/>
    </row>
    <row r="28" spans="1:41" x14ac:dyDescent="0.15">
      <c r="A28" s="131"/>
      <c r="B28" s="131"/>
      <c r="C28" s="131"/>
      <c r="D28" s="131"/>
      <c r="E28" s="131"/>
      <c r="F28" s="131"/>
      <c r="G28" s="131"/>
      <c r="H28" s="131"/>
      <c r="I28" s="131"/>
      <c r="J28" s="131"/>
      <c r="K28" s="131"/>
      <c r="L28" s="131"/>
      <c r="M28" s="131"/>
      <c r="N28" s="131"/>
      <c r="O28" s="131"/>
      <c r="P28" s="131"/>
      <c r="Q28" s="131"/>
      <c r="R28" s="131"/>
      <c r="S28" s="131"/>
      <c r="T28" s="131"/>
      <c r="U28" s="131"/>
      <c r="V28" s="131"/>
      <c r="W28" s="131"/>
      <c r="X28" s="131"/>
      <c r="Y28" s="131"/>
      <c r="Z28" s="131"/>
      <c r="AA28" s="131"/>
      <c r="AB28" s="131"/>
      <c r="AC28" s="131"/>
      <c r="AD28" s="131"/>
      <c r="AE28" s="131"/>
      <c r="AF28" s="131"/>
      <c r="AG28" s="131"/>
      <c r="AH28" s="131"/>
      <c r="AI28" s="131"/>
      <c r="AJ28" s="131"/>
      <c r="AK28" s="131"/>
      <c r="AL28" s="131"/>
      <c r="AM28" s="131"/>
      <c r="AN28" s="131"/>
      <c r="AO28" s="131"/>
    </row>
    <row r="29" spans="1:41" x14ac:dyDescent="0.15">
      <c r="A29" s="135"/>
      <c r="B29" s="135"/>
      <c r="C29" s="135"/>
      <c r="D29" s="135"/>
      <c r="E29" s="135"/>
      <c r="F29" s="135"/>
      <c r="G29" s="135"/>
      <c r="H29" s="135"/>
      <c r="I29" s="135"/>
      <c r="J29" s="135"/>
      <c r="K29" s="135"/>
      <c r="L29" s="135"/>
      <c r="M29" s="135"/>
      <c r="N29" s="135"/>
      <c r="O29" s="135"/>
      <c r="P29" s="135"/>
      <c r="Q29" s="135"/>
      <c r="R29" s="135"/>
      <c r="S29" s="135"/>
      <c r="T29" s="135"/>
      <c r="U29" s="135"/>
      <c r="V29" s="135"/>
      <c r="W29" s="135"/>
      <c r="X29" s="135"/>
      <c r="Y29" s="135"/>
      <c r="Z29" s="135"/>
      <c r="AA29" s="135"/>
      <c r="AB29" s="135"/>
      <c r="AC29" s="135"/>
      <c r="AD29" s="135"/>
      <c r="AE29" s="135"/>
      <c r="AF29" s="135"/>
      <c r="AG29" s="135"/>
      <c r="AH29" s="135"/>
      <c r="AI29" s="135"/>
      <c r="AJ29" s="135"/>
      <c r="AK29" s="135"/>
      <c r="AL29" s="135"/>
      <c r="AM29" s="135"/>
      <c r="AN29" s="135"/>
      <c r="AO29" s="135"/>
    </row>
    <row r="30" spans="1:41" x14ac:dyDescent="0.15">
      <c r="A30" s="135"/>
      <c r="B30" s="135"/>
      <c r="C30" s="135"/>
      <c r="D30" s="135"/>
      <c r="E30" s="135"/>
      <c r="F30" s="135"/>
      <c r="G30" s="135"/>
      <c r="H30" s="135"/>
      <c r="I30" s="135"/>
      <c r="J30" s="135"/>
      <c r="K30" s="135"/>
      <c r="L30" s="135"/>
      <c r="M30" s="135"/>
      <c r="N30" s="135"/>
      <c r="O30" s="135"/>
      <c r="P30" s="135"/>
      <c r="Q30" s="135"/>
      <c r="R30" s="135"/>
      <c r="S30" s="135"/>
      <c r="T30" s="135"/>
      <c r="U30" s="135"/>
      <c r="V30" s="135"/>
      <c r="W30" s="135"/>
      <c r="X30" s="135"/>
      <c r="Y30" s="135"/>
      <c r="Z30" s="135"/>
      <c r="AA30" s="135"/>
      <c r="AB30" s="135"/>
      <c r="AC30" s="135"/>
      <c r="AD30" s="135"/>
      <c r="AE30" s="135"/>
      <c r="AF30" s="135"/>
      <c r="AG30" s="135"/>
      <c r="AH30" s="135"/>
      <c r="AI30" s="135"/>
      <c r="AJ30" s="135"/>
      <c r="AK30" s="135"/>
      <c r="AL30" s="135"/>
      <c r="AM30" s="135"/>
      <c r="AN30" s="135"/>
      <c r="AO30" s="135"/>
    </row>
    <row r="31" spans="1:41" x14ac:dyDescent="0.15">
      <c r="A31" s="133" t="s">
        <v>781</v>
      </c>
      <c r="B31" s="133"/>
      <c r="C31" s="133"/>
      <c r="D31" s="133"/>
      <c r="E31" s="133"/>
      <c r="F31" s="133"/>
      <c r="G31" s="133"/>
      <c r="H31" s="133"/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3"/>
      <c r="W31" s="133"/>
      <c r="X31" s="133"/>
      <c r="Y31" s="133"/>
      <c r="Z31" s="133"/>
      <c r="AA31" s="133"/>
      <c r="AB31" s="133"/>
      <c r="AC31" s="133"/>
      <c r="AD31" s="133"/>
      <c r="AE31" s="133"/>
      <c r="AF31" s="133"/>
      <c r="AG31" s="133"/>
      <c r="AH31" s="133"/>
      <c r="AI31" s="133"/>
      <c r="AJ31" s="133"/>
      <c r="AK31" s="133"/>
      <c r="AL31" s="133"/>
      <c r="AM31" s="133"/>
      <c r="AN31" s="133"/>
      <c r="AO31" s="133"/>
    </row>
    <row r="32" spans="1:41" x14ac:dyDescent="0.15">
      <c r="A32" s="131" t="s">
        <v>787</v>
      </c>
      <c r="B32" s="131"/>
      <c r="C32" s="131"/>
      <c r="D32" s="131"/>
      <c r="E32" s="131"/>
      <c r="F32" s="131"/>
      <c r="G32" s="131"/>
      <c r="H32" s="131"/>
      <c r="I32" s="131"/>
      <c r="J32" s="131"/>
      <c r="K32" s="131"/>
      <c r="L32" s="131"/>
      <c r="M32" s="131"/>
      <c r="N32" s="131"/>
      <c r="O32" s="131"/>
      <c r="P32" s="131"/>
      <c r="Q32" s="131"/>
      <c r="R32" s="131"/>
      <c r="S32" s="131"/>
      <c r="T32" s="131"/>
      <c r="U32" s="131"/>
      <c r="V32" s="131"/>
      <c r="W32" s="131"/>
      <c r="X32" s="131"/>
      <c r="Y32" s="131"/>
      <c r="Z32" s="131"/>
      <c r="AA32" s="131"/>
      <c r="AB32" s="131"/>
      <c r="AC32" s="131"/>
      <c r="AD32" s="131"/>
      <c r="AE32" s="131"/>
      <c r="AF32" s="131"/>
      <c r="AG32" s="131"/>
      <c r="AH32" s="131"/>
      <c r="AI32" s="131"/>
      <c r="AJ32" s="131"/>
      <c r="AK32" s="131"/>
      <c r="AL32" s="131"/>
      <c r="AM32" s="131"/>
      <c r="AN32" s="131"/>
      <c r="AO32" s="131"/>
    </row>
    <row r="33" spans="1:41" x14ac:dyDescent="0.15">
      <c r="A33" s="131" t="s">
        <v>818</v>
      </c>
      <c r="B33" s="131"/>
      <c r="C33" s="131"/>
      <c r="D33" s="131"/>
      <c r="E33" s="131"/>
      <c r="F33" s="131"/>
      <c r="G33" s="131"/>
      <c r="H33" s="131"/>
      <c r="I33" s="131"/>
      <c r="J33" s="131"/>
      <c r="K33" s="131"/>
      <c r="L33" s="131"/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</row>
    <row r="34" spans="1:41" x14ac:dyDescent="0.15">
      <c r="A34" s="131" t="s">
        <v>819</v>
      </c>
      <c r="B34" s="131"/>
      <c r="C34" s="131"/>
      <c r="D34" s="131"/>
      <c r="E34" s="131"/>
      <c r="F34" s="131"/>
      <c r="G34" s="131"/>
      <c r="H34" s="131"/>
      <c r="I34" s="131"/>
      <c r="J34" s="131"/>
      <c r="K34" s="131"/>
      <c r="L34" s="131"/>
      <c r="M34" s="131"/>
      <c r="N34" s="131"/>
      <c r="O34" s="131"/>
      <c r="P34" s="131"/>
      <c r="Q34" s="131"/>
      <c r="R34" s="131"/>
      <c r="S34" s="131"/>
      <c r="T34" s="131"/>
      <c r="U34" s="131"/>
      <c r="V34" s="131"/>
      <c r="W34" s="131"/>
      <c r="X34" s="131"/>
      <c r="Y34" s="131"/>
      <c r="Z34" s="131"/>
      <c r="AA34" s="131"/>
      <c r="AB34" s="131"/>
      <c r="AC34" s="131"/>
      <c r="AD34" s="131"/>
      <c r="AE34" s="131"/>
      <c r="AF34" s="131"/>
      <c r="AG34" s="131"/>
      <c r="AH34" s="131"/>
      <c r="AI34" s="131"/>
      <c r="AJ34" s="131"/>
      <c r="AK34" s="131"/>
      <c r="AL34" s="131"/>
      <c r="AM34" s="131"/>
      <c r="AN34" s="131"/>
      <c r="AO34" s="131"/>
    </row>
    <row r="35" spans="1:41" x14ac:dyDescent="0.15">
      <c r="A35" s="131" t="s">
        <v>820</v>
      </c>
      <c r="B35" s="131"/>
      <c r="C35" s="131"/>
      <c r="D35" s="131"/>
      <c r="E35" s="131"/>
      <c r="F35" s="131"/>
      <c r="G35" s="131"/>
      <c r="H35" s="131"/>
      <c r="I35" s="131"/>
      <c r="J35" s="131"/>
      <c r="K35" s="131"/>
      <c r="L35" s="131"/>
      <c r="M35" s="131"/>
      <c r="N35" s="131"/>
      <c r="O35" s="131"/>
      <c r="P35" s="131"/>
      <c r="Q35" s="131"/>
      <c r="R35" s="131"/>
      <c r="S35" s="131"/>
      <c r="T35" s="131"/>
      <c r="U35" s="131"/>
      <c r="V35" s="131"/>
      <c r="W35" s="131"/>
      <c r="X35" s="131"/>
      <c r="Y35" s="131"/>
      <c r="Z35" s="131"/>
      <c r="AA35" s="131"/>
      <c r="AB35" s="131"/>
      <c r="AC35" s="131"/>
      <c r="AD35" s="131"/>
      <c r="AE35" s="131"/>
      <c r="AF35" s="131"/>
      <c r="AG35" s="131"/>
      <c r="AH35" s="131"/>
      <c r="AI35" s="131"/>
      <c r="AJ35" s="131"/>
      <c r="AK35" s="131"/>
      <c r="AL35" s="131"/>
      <c r="AM35" s="131"/>
      <c r="AN35" s="131"/>
      <c r="AO35" s="131"/>
    </row>
    <row r="36" spans="1:41" x14ac:dyDescent="0.15">
      <c r="A36" s="131" t="s">
        <v>821</v>
      </c>
      <c r="B36" s="131"/>
      <c r="C36" s="131"/>
      <c r="D36" s="131"/>
      <c r="E36" s="131"/>
      <c r="F36" s="131"/>
      <c r="G36" s="131"/>
      <c r="H36" s="131"/>
      <c r="I36" s="131"/>
      <c r="J36" s="131"/>
      <c r="K36" s="131"/>
      <c r="L36" s="131"/>
      <c r="M36" s="131"/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131"/>
      <c r="Z36" s="131"/>
      <c r="AA36" s="131"/>
      <c r="AB36" s="131"/>
      <c r="AC36" s="131"/>
      <c r="AD36" s="131"/>
      <c r="AE36" s="131"/>
      <c r="AF36" s="131"/>
      <c r="AG36" s="131"/>
      <c r="AH36" s="131"/>
      <c r="AI36" s="131"/>
      <c r="AJ36" s="131"/>
      <c r="AK36" s="131"/>
      <c r="AL36" s="131"/>
      <c r="AM36" s="131"/>
      <c r="AN36" s="131"/>
      <c r="AO36" s="131"/>
    </row>
    <row r="37" spans="1:41" x14ac:dyDescent="0.15">
      <c r="A37" s="131" t="s">
        <v>822</v>
      </c>
      <c r="B37" s="131"/>
      <c r="C37" s="131"/>
      <c r="D37" s="131"/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</row>
    <row r="38" spans="1:41" x14ac:dyDescent="0.15">
      <c r="A38" s="135"/>
      <c r="B38" s="135"/>
      <c r="C38" s="135"/>
      <c r="D38" s="135"/>
      <c r="E38" s="135"/>
      <c r="F38" s="135"/>
      <c r="G38" s="135"/>
      <c r="H38" s="135"/>
      <c r="I38" s="135"/>
      <c r="J38" s="135"/>
      <c r="K38" s="135"/>
      <c r="L38" s="135"/>
      <c r="M38" s="135"/>
      <c r="N38" s="135"/>
      <c r="O38" s="135"/>
      <c r="P38" s="135"/>
      <c r="Q38" s="135"/>
      <c r="R38" s="135"/>
      <c r="S38" s="135"/>
      <c r="T38" s="135"/>
      <c r="U38" s="135"/>
      <c r="V38" s="135"/>
      <c r="W38" s="135"/>
      <c r="X38" s="135"/>
      <c r="Y38" s="135"/>
      <c r="Z38" s="135"/>
      <c r="AA38" s="135"/>
      <c r="AB38" s="135"/>
      <c r="AC38" s="135"/>
      <c r="AD38" s="135"/>
      <c r="AE38" s="135"/>
      <c r="AF38" s="135"/>
      <c r="AG38" s="135"/>
      <c r="AH38" s="135"/>
      <c r="AI38" s="135"/>
      <c r="AJ38" s="135"/>
      <c r="AK38" s="135"/>
      <c r="AL38" s="135"/>
      <c r="AM38" s="135"/>
      <c r="AN38" s="135"/>
      <c r="AO38" s="135"/>
    </row>
    <row r="39" spans="1:41" x14ac:dyDescent="0.15">
      <c r="A39" s="135"/>
      <c r="B39" s="135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5"/>
      <c r="T39" s="135"/>
      <c r="U39" s="135"/>
      <c r="V39" s="135"/>
      <c r="W39" s="135"/>
      <c r="X39" s="135"/>
      <c r="Y39" s="135"/>
      <c r="Z39" s="135"/>
      <c r="AA39" s="135"/>
      <c r="AB39" s="135"/>
      <c r="AC39" s="135"/>
      <c r="AD39" s="135"/>
      <c r="AE39" s="135"/>
      <c r="AF39" s="135"/>
      <c r="AG39" s="135"/>
      <c r="AH39" s="135"/>
      <c r="AI39" s="135"/>
      <c r="AJ39" s="135"/>
      <c r="AK39" s="135"/>
      <c r="AL39" s="135"/>
      <c r="AM39" s="135"/>
      <c r="AN39" s="135"/>
      <c r="AO39" s="135"/>
    </row>
    <row r="40" spans="1:41" x14ac:dyDescent="0.15">
      <c r="A40" s="135"/>
      <c r="B40" s="135"/>
      <c r="C40" s="135"/>
      <c r="D40" s="135"/>
      <c r="E40" s="135"/>
      <c r="F40" s="135"/>
      <c r="G40" s="135"/>
      <c r="H40" s="135"/>
      <c r="I40" s="135"/>
      <c r="J40" s="135"/>
      <c r="K40" s="135"/>
      <c r="L40" s="135"/>
      <c r="M40" s="135"/>
      <c r="N40" s="135"/>
      <c r="O40" s="135"/>
      <c r="P40" s="135"/>
      <c r="Q40" s="135"/>
      <c r="R40" s="135"/>
      <c r="S40" s="135"/>
      <c r="T40" s="135"/>
      <c r="U40" s="135"/>
      <c r="V40" s="135"/>
      <c r="W40" s="135"/>
      <c r="X40" s="135"/>
      <c r="Y40" s="135"/>
      <c r="Z40" s="135"/>
      <c r="AA40" s="135"/>
      <c r="AB40" s="135"/>
      <c r="AC40" s="135"/>
      <c r="AD40" s="135"/>
      <c r="AE40" s="135"/>
      <c r="AF40" s="135"/>
      <c r="AG40" s="135"/>
      <c r="AH40" s="135"/>
      <c r="AI40" s="135"/>
      <c r="AJ40" s="135"/>
      <c r="AK40" s="135"/>
      <c r="AL40" s="135"/>
      <c r="AM40" s="135"/>
      <c r="AN40" s="135"/>
      <c r="AO40" s="135"/>
    </row>
    <row r="41" spans="1:41" x14ac:dyDescent="0.15">
      <c r="A41" s="133" t="s">
        <v>782</v>
      </c>
      <c r="B41" s="133"/>
      <c r="C41" s="133"/>
      <c r="D41" s="133"/>
      <c r="E41" s="133"/>
      <c r="F41" s="133"/>
      <c r="G41" s="133"/>
      <c r="H41" s="133"/>
      <c r="I41" s="133"/>
      <c r="J41" s="133"/>
      <c r="K41" s="133"/>
      <c r="L41" s="133"/>
      <c r="M41" s="133"/>
      <c r="N41" s="133"/>
      <c r="O41" s="133"/>
      <c r="P41" s="133"/>
      <c r="Q41" s="133"/>
      <c r="R41" s="133"/>
      <c r="S41" s="133"/>
      <c r="T41" s="133"/>
      <c r="U41" s="133"/>
      <c r="V41" s="133"/>
      <c r="W41" s="133"/>
      <c r="X41" s="133"/>
      <c r="Y41" s="133"/>
      <c r="Z41" s="133"/>
      <c r="AA41" s="133"/>
      <c r="AB41" s="133"/>
      <c r="AC41" s="133"/>
      <c r="AD41" s="133"/>
      <c r="AE41" s="133"/>
      <c r="AF41" s="133"/>
      <c r="AG41" s="133"/>
      <c r="AH41" s="133"/>
      <c r="AI41" s="133"/>
      <c r="AJ41" s="133"/>
      <c r="AK41" s="133"/>
      <c r="AL41" s="133"/>
      <c r="AM41" s="133"/>
      <c r="AN41" s="133"/>
      <c r="AO41" s="133"/>
    </row>
    <row r="42" spans="1:41" x14ac:dyDescent="0.15">
      <c r="A42" s="131" t="s">
        <v>787</v>
      </c>
      <c r="B42" s="131"/>
      <c r="C42" s="131"/>
      <c r="D42" s="131"/>
      <c r="E42" s="131"/>
      <c r="F42" s="131"/>
      <c r="G42" s="131"/>
      <c r="H42" s="131"/>
      <c r="I42" s="131"/>
      <c r="J42" s="131"/>
      <c r="K42" s="131"/>
      <c r="L42" s="131"/>
      <c r="M42" s="131"/>
      <c r="N42" s="131"/>
      <c r="O42" s="131"/>
      <c r="P42" s="131"/>
      <c r="Q42" s="131"/>
      <c r="R42" s="131"/>
      <c r="S42" s="131"/>
      <c r="T42" s="131"/>
      <c r="U42" s="131"/>
      <c r="V42" s="131"/>
      <c r="W42" s="131"/>
      <c r="X42" s="131"/>
      <c r="Y42" s="131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  <c r="AN42" s="131"/>
      <c r="AO42" s="131"/>
    </row>
    <row r="43" spans="1:41" x14ac:dyDescent="0.15">
      <c r="A43" s="131" t="s">
        <v>813</v>
      </c>
      <c r="B43" s="131"/>
      <c r="C43" s="131"/>
      <c r="D43" s="131"/>
      <c r="E43" s="131"/>
      <c r="F43" s="131"/>
      <c r="G43" s="131"/>
      <c r="H43" s="131"/>
      <c r="I43" s="131"/>
      <c r="J43" s="131"/>
      <c r="K43" s="131"/>
      <c r="L43" s="131"/>
      <c r="M43" s="131"/>
      <c r="N43" s="131"/>
      <c r="O43" s="131"/>
      <c r="P43" s="131"/>
      <c r="Q43" s="131"/>
      <c r="R43" s="131"/>
      <c r="S43" s="131"/>
      <c r="T43" s="131"/>
      <c r="U43" s="131"/>
      <c r="V43" s="131"/>
      <c r="W43" s="131"/>
      <c r="X43" s="131"/>
      <c r="Y43" s="131"/>
      <c r="Z43" s="131"/>
      <c r="AA43" s="131"/>
      <c r="AB43" s="131"/>
      <c r="AC43" s="131"/>
      <c r="AD43" s="131"/>
      <c r="AE43" s="131"/>
      <c r="AF43" s="131"/>
      <c r="AG43" s="131"/>
      <c r="AH43" s="131"/>
      <c r="AI43" s="131"/>
      <c r="AJ43" s="131"/>
      <c r="AK43" s="131"/>
      <c r="AL43" s="131"/>
      <c r="AM43" s="131"/>
      <c r="AN43" s="131"/>
      <c r="AO43" s="131"/>
    </row>
    <row r="44" spans="1:41" x14ac:dyDescent="0.15">
      <c r="A44" s="131" t="s">
        <v>814</v>
      </c>
      <c r="B44" s="131"/>
      <c r="C44" s="131"/>
      <c r="D44" s="131"/>
      <c r="E44" s="131"/>
      <c r="F44" s="131"/>
      <c r="G44" s="131"/>
      <c r="H44" s="131"/>
      <c r="I44" s="131"/>
      <c r="J44" s="131"/>
      <c r="K44" s="131"/>
      <c r="L44" s="131"/>
      <c r="M44" s="131"/>
      <c r="N44" s="131"/>
      <c r="O44" s="131"/>
      <c r="P44" s="131"/>
      <c r="Q44" s="131"/>
      <c r="R44" s="131"/>
      <c r="S44" s="131"/>
      <c r="T44" s="131"/>
      <c r="U44" s="131"/>
      <c r="V44" s="131"/>
      <c r="W44" s="131"/>
      <c r="X44" s="131"/>
      <c r="Y44" s="131"/>
      <c r="Z44" s="131"/>
      <c r="AA44" s="131"/>
      <c r="AB44" s="131"/>
      <c r="AC44" s="131"/>
      <c r="AD44" s="131"/>
      <c r="AE44" s="131"/>
      <c r="AF44" s="131"/>
      <c r="AG44" s="131"/>
      <c r="AH44" s="131"/>
      <c r="AI44" s="131"/>
      <c r="AJ44" s="131"/>
      <c r="AK44" s="131"/>
      <c r="AL44" s="131"/>
      <c r="AM44" s="131"/>
      <c r="AN44" s="131"/>
      <c r="AO44" s="131"/>
    </row>
    <row r="45" spans="1:41" x14ac:dyDescent="0.15">
      <c r="A45" s="131" t="s">
        <v>815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  <c r="AC45" s="131"/>
      <c r="AD45" s="131"/>
      <c r="AE45" s="131"/>
      <c r="AF45" s="131"/>
      <c r="AG45" s="131"/>
      <c r="AH45" s="131"/>
      <c r="AI45" s="131"/>
      <c r="AJ45" s="131"/>
      <c r="AK45" s="131"/>
      <c r="AL45" s="131"/>
      <c r="AM45" s="131"/>
      <c r="AN45" s="131"/>
      <c r="AO45" s="131"/>
    </row>
    <row r="46" spans="1:41" x14ac:dyDescent="0.15">
      <c r="A46" s="131" t="s">
        <v>816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  <c r="AC46" s="131"/>
      <c r="AD46" s="131"/>
      <c r="AE46" s="131"/>
      <c r="AF46" s="131"/>
      <c r="AG46" s="131"/>
      <c r="AH46" s="131"/>
      <c r="AI46" s="131"/>
      <c r="AJ46" s="131"/>
      <c r="AK46" s="131"/>
      <c r="AL46" s="131"/>
      <c r="AM46" s="131"/>
      <c r="AN46" s="131"/>
      <c r="AO46" s="131"/>
    </row>
    <row r="47" spans="1:41" x14ac:dyDescent="0.15">
      <c r="A47" s="131" t="s">
        <v>817</v>
      </c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1"/>
      <c r="V47" s="131"/>
      <c r="W47" s="131"/>
      <c r="X47" s="131"/>
      <c r="Y47" s="131"/>
      <c r="Z47" s="131"/>
      <c r="AA47" s="131"/>
      <c r="AB47" s="131"/>
      <c r="AC47" s="131"/>
      <c r="AD47" s="131"/>
      <c r="AE47" s="131"/>
      <c r="AF47" s="131"/>
      <c r="AG47" s="131"/>
      <c r="AH47" s="131"/>
      <c r="AI47" s="131"/>
      <c r="AJ47" s="131"/>
      <c r="AK47" s="131"/>
      <c r="AL47" s="131"/>
      <c r="AM47" s="131"/>
      <c r="AN47" s="131"/>
      <c r="AO47" s="131"/>
    </row>
    <row r="48" spans="1:41" x14ac:dyDescent="0.15">
      <c r="A48" s="131"/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1"/>
      <c r="V48" s="131"/>
      <c r="W48" s="131"/>
      <c r="X48" s="131"/>
      <c r="Y48" s="131"/>
      <c r="Z48" s="131"/>
      <c r="AA48" s="131"/>
      <c r="AB48" s="131"/>
      <c r="AC48" s="131"/>
      <c r="AD48" s="131"/>
      <c r="AE48" s="131"/>
      <c r="AF48" s="131"/>
      <c r="AG48" s="131"/>
      <c r="AH48" s="131"/>
      <c r="AI48" s="131"/>
      <c r="AJ48" s="131"/>
      <c r="AK48" s="131"/>
      <c r="AL48" s="131"/>
      <c r="AM48" s="131"/>
      <c r="AN48" s="131"/>
      <c r="AO48" s="131"/>
    </row>
    <row r="49" spans="1:41" x14ac:dyDescent="0.15">
      <c r="A49" s="131"/>
      <c r="B49" s="131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131"/>
      <c r="T49" s="131"/>
      <c r="U49" s="131"/>
      <c r="V49" s="131"/>
      <c r="W49" s="131"/>
      <c r="X49" s="131"/>
      <c r="Y49" s="131"/>
      <c r="Z49" s="131"/>
      <c r="AA49" s="131"/>
      <c r="AB49" s="131"/>
      <c r="AC49" s="131"/>
      <c r="AD49" s="131"/>
      <c r="AE49" s="131"/>
      <c r="AF49" s="131"/>
      <c r="AG49" s="131"/>
      <c r="AH49" s="131"/>
      <c r="AI49" s="131"/>
      <c r="AJ49" s="131"/>
      <c r="AK49" s="131"/>
      <c r="AL49" s="131"/>
      <c r="AM49" s="131"/>
      <c r="AN49" s="131"/>
      <c r="AO49" s="131"/>
    </row>
    <row r="50" spans="1:41" x14ac:dyDescent="0.15">
      <c r="A50" s="131"/>
      <c r="B50" s="131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  <c r="AA50" s="131"/>
      <c r="AB50" s="131"/>
      <c r="AC50" s="131"/>
      <c r="AD50" s="131"/>
      <c r="AE50" s="131"/>
      <c r="AF50" s="131"/>
      <c r="AG50" s="131"/>
      <c r="AH50" s="131"/>
      <c r="AI50" s="131"/>
      <c r="AJ50" s="131"/>
      <c r="AK50" s="131"/>
      <c r="AL50" s="131"/>
      <c r="AM50" s="131"/>
      <c r="AN50" s="131"/>
      <c r="AO50" s="131"/>
    </row>
    <row r="51" spans="1:41" x14ac:dyDescent="0.15">
      <c r="A51" s="131"/>
      <c r="B51" s="131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131"/>
      <c r="T51" s="131"/>
      <c r="U51" s="131"/>
      <c r="V51" s="131"/>
      <c r="W51" s="131"/>
      <c r="X51" s="131"/>
      <c r="Y51" s="131"/>
      <c r="Z51" s="131"/>
      <c r="AA51" s="131"/>
      <c r="AB51" s="131"/>
      <c r="AC51" s="131"/>
      <c r="AD51" s="131"/>
      <c r="AE51" s="131"/>
      <c r="AF51" s="131"/>
      <c r="AG51" s="131"/>
      <c r="AH51" s="131"/>
      <c r="AI51" s="131"/>
      <c r="AJ51" s="131"/>
      <c r="AK51" s="131"/>
      <c r="AL51" s="131"/>
      <c r="AM51" s="131"/>
      <c r="AN51" s="131"/>
      <c r="AO51" s="131"/>
    </row>
    <row r="52" spans="1:41" x14ac:dyDescent="0.15">
      <c r="A52" s="131"/>
      <c r="B52" s="131"/>
      <c r="C52" s="131"/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1"/>
      <c r="O52" s="131"/>
      <c r="P52" s="131"/>
      <c r="Q52" s="131"/>
      <c r="R52" s="131"/>
      <c r="S52" s="131"/>
      <c r="T52" s="131"/>
      <c r="U52" s="131"/>
      <c r="V52" s="131"/>
      <c r="W52" s="131"/>
      <c r="X52" s="131"/>
      <c r="Y52" s="131"/>
      <c r="Z52" s="131"/>
      <c r="AA52" s="131"/>
      <c r="AB52" s="131"/>
      <c r="AC52" s="131"/>
      <c r="AD52" s="131"/>
      <c r="AE52" s="131"/>
      <c r="AF52" s="131"/>
      <c r="AG52" s="131"/>
      <c r="AH52" s="131"/>
      <c r="AI52" s="131"/>
      <c r="AJ52" s="131"/>
      <c r="AK52" s="131"/>
      <c r="AL52" s="131"/>
      <c r="AM52" s="131"/>
      <c r="AN52" s="131"/>
      <c r="AO52" s="131"/>
    </row>
    <row r="53" spans="1:41" x14ac:dyDescent="0.15">
      <c r="A53" s="133" t="s">
        <v>783</v>
      </c>
      <c r="B53" s="133"/>
      <c r="C53" s="133"/>
      <c r="D53" s="133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133"/>
      <c r="Z53" s="133"/>
      <c r="AA53" s="133"/>
      <c r="AB53" s="133"/>
      <c r="AC53" s="133"/>
      <c r="AD53" s="133"/>
      <c r="AE53" s="133"/>
      <c r="AF53" s="133"/>
      <c r="AG53" s="133"/>
      <c r="AH53" s="133"/>
      <c r="AI53" s="133"/>
      <c r="AJ53" s="133"/>
      <c r="AK53" s="133"/>
      <c r="AL53" s="133"/>
      <c r="AM53" s="133"/>
      <c r="AN53" s="133"/>
      <c r="AO53" s="133"/>
    </row>
    <row r="54" spans="1:41" x14ac:dyDescent="0.15">
      <c r="A54" s="132" t="s">
        <v>787</v>
      </c>
      <c r="B54" s="131"/>
      <c r="C54" s="131"/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1"/>
      <c r="O54" s="131"/>
      <c r="P54" s="131"/>
      <c r="Q54" s="131"/>
      <c r="R54" s="131"/>
      <c r="S54" s="131"/>
      <c r="T54" s="131"/>
      <c r="U54" s="131"/>
      <c r="V54" s="131"/>
      <c r="W54" s="131"/>
      <c r="X54" s="131"/>
      <c r="Y54" s="131"/>
      <c r="Z54" s="131"/>
      <c r="AA54" s="131"/>
      <c r="AB54" s="131"/>
      <c r="AC54" s="131"/>
      <c r="AD54" s="131"/>
      <c r="AE54" s="131"/>
      <c r="AF54" s="131"/>
      <c r="AG54" s="131"/>
      <c r="AH54" s="131"/>
      <c r="AI54" s="131"/>
      <c r="AJ54" s="131"/>
      <c r="AK54" s="131"/>
      <c r="AL54" s="131"/>
      <c r="AM54" s="131"/>
      <c r="AN54" s="131"/>
      <c r="AO54" s="131"/>
    </row>
    <row r="55" spans="1:41" x14ac:dyDescent="0.15">
      <c r="A55" s="132" t="s">
        <v>810</v>
      </c>
      <c r="B55" s="131"/>
      <c r="C55" s="131"/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  <c r="AC55" s="131"/>
      <c r="AD55" s="131"/>
      <c r="AE55" s="131"/>
      <c r="AF55" s="131"/>
      <c r="AG55" s="131"/>
      <c r="AH55" s="131"/>
      <c r="AI55" s="131"/>
      <c r="AJ55" s="131"/>
      <c r="AK55" s="131"/>
      <c r="AL55" s="131"/>
      <c r="AM55" s="131"/>
      <c r="AN55" s="131"/>
      <c r="AO55" s="131"/>
    </row>
    <row r="56" spans="1:41" x14ac:dyDescent="0.15">
      <c r="A56" s="131" t="s">
        <v>811</v>
      </c>
      <c r="B56" s="131"/>
      <c r="C56" s="131"/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1"/>
      <c r="Q56" s="131"/>
      <c r="R56" s="131"/>
      <c r="S56" s="131"/>
      <c r="T56" s="131"/>
      <c r="U56" s="131"/>
      <c r="V56" s="131"/>
      <c r="W56" s="131"/>
      <c r="X56" s="131"/>
      <c r="Y56" s="131"/>
      <c r="Z56" s="131"/>
      <c r="AA56" s="131"/>
      <c r="AB56" s="131"/>
      <c r="AC56" s="131"/>
      <c r="AD56" s="131"/>
      <c r="AE56" s="131"/>
      <c r="AF56" s="131"/>
      <c r="AG56" s="131"/>
      <c r="AH56" s="131"/>
      <c r="AI56" s="131"/>
      <c r="AJ56" s="131"/>
      <c r="AK56" s="131"/>
      <c r="AL56" s="131"/>
      <c r="AM56" s="131"/>
      <c r="AN56" s="131"/>
      <c r="AO56" s="131"/>
    </row>
    <row r="57" spans="1:41" x14ac:dyDescent="0.15">
      <c r="A57" s="131" t="s">
        <v>812</v>
      </c>
      <c r="B57" s="131"/>
      <c r="C57" s="131"/>
      <c r="D57" s="131"/>
      <c r="E57" s="131"/>
      <c r="F57" s="131"/>
      <c r="G57" s="131"/>
      <c r="H57" s="131"/>
      <c r="I57" s="131"/>
      <c r="J57" s="131"/>
      <c r="K57" s="131"/>
      <c r="L57" s="131"/>
      <c r="M57" s="131"/>
      <c r="N57" s="131"/>
      <c r="O57" s="131"/>
      <c r="P57" s="131"/>
      <c r="Q57" s="131"/>
      <c r="R57" s="131"/>
      <c r="S57" s="131"/>
      <c r="T57" s="131"/>
      <c r="U57" s="131"/>
      <c r="V57" s="131"/>
      <c r="W57" s="131"/>
      <c r="X57" s="131"/>
      <c r="Y57" s="131"/>
      <c r="Z57" s="131"/>
      <c r="AA57" s="131"/>
      <c r="AB57" s="131"/>
      <c r="AC57" s="131"/>
      <c r="AD57" s="131"/>
      <c r="AE57" s="131"/>
      <c r="AF57" s="131"/>
      <c r="AG57" s="131"/>
      <c r="AH57" s="131"/>
      <c r="AI57" s="131"/>
      <c r="AJ57" s="131"/>
      <c r="AK57" s="131"/>
      <c r="AL57" s="131"/>
      <c r="AM57" s="131"/>
      <c r="AN57" s="131"/>
      <c r="AO57" s="131"/>
    </row>
    <row r="58" spans="1:41" x14ac:dyDescent="0.15">
      <c r="A58" s="131"/>
      <c r="B58" s="131"/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131"/>
      <c r="AA58" s="131"/>
      <c r="AB58" s="131"/>
      <c r="AC58" s="131"/>
      <c r="AD58" s="131"/>
      <c r="AE58" s="131"/>
      <c r="AF58" s="131"/>
      <c r="AG58" s="131"/>
      <c r="AH58" s="131"/>
      <c r="AI58" s="131"/>
      <c r="AJ58" s="131"/>
      <c r="AK58" s="131"/>
      <c r="AL58" s="131"/>
      <c r="AM58" s="131"/>
      <c r="AN58" s="131"/>
      <c r="AO58" s="131"/>
    </row>
    <row r="59" spans="1:41" x14ac:dyDescent="0.15">
      <c r="A59" s="131"/>
      <c r="B59" s="131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  <c r="T59" s="131"/>
      <c r="U59" s="131"/>
      <c r="V59" s="131"/>
      <c r="W59" s="131"/>
      <c r="X59" s="131"/>
      <c r="Y59" s="131"/>
      <c r="Z59" s="131"/>
      <c r="AA59" s="131"/>
      <c r="AB59" s="131"/>
      <c r="AC59" s="131"/>
      <c r="AD59" s="131"/>
      <c r="AE59" s="131"/>
      <c r="AF59" s="131"/>
      <c r="AG59" s="131"/>
      <c r="AH59" s="131"/>
      <c r="AI59" s="131"/>
      <c r="AJ59" s="131"/>
      <c r="AK59" s="131"/>
      <c r="AL59" s="131"/>
      <c r="AM59" s="131"/>
      <c r="AN59" s="131"/>
      <c r="AO59" s="131"/>
    </row>
    <row r="60" spans="1:41" x14ac:dyDescent="0.15">
      <c r="A60" s="131"/>
      <c r="B60" s="131"/>
      <c r="C60" s="131"/>
      <c r="D60" s="131"/>
      <c r="E60" s="131"/>
      <c r="F60" s="131"/>
      <c r="G60" s="131"/>
      <c r="H60" s="131"/>
      <c r="I60" s="131"/>
      <c r="J60" s="131"/>
      <c r="K60" s="131"/>
      <c r="L60" s="131"/>
      <c r="M60" s="131"/>
      <c r="N60" s="131"/>
      <c r="O60" s="131"/>
      <c r="P60" s="131"/>
      <c r="Q60" s="131"/>
      <c r="R60" s="131"/>
      <c r="S60" s="131"/>
      <c r="T60" s="131"/>
      <c r="U60" s="131"/>
      <c r="V60" s="131"/>
      <c r="W60" s="131"/>
      <c r="X60" s="131"/>
      <c r="Y60" s="131"/>
      <c r="Z60" s="131"/>
      <c r="AA60" s="131"/>
      <c r="AB60" s="131"/>
      <c r="AC60" s="131"/>
      <c r="AD60" s="131"/>
      <c r="AE60" s="131"/>
      <c r="AF60" s="131"/>
      <c r="AG60" s="131"/>
      <c r="AH60" s="131"/>
      <c r="AI60" s="131"/>
      <c r="AJ60" s="131"/>
      <c r="AK60" s="131"/>
      <c r="AL60" s="131"/>
      <c r="AM60" s="131"/>
      <c r="AN60" s="131"/>
      <c r="AO60" s="131"/>
    </row>
    <row r="61" spans="1:41" x14ac:dyDescent="0.15">
      <c r="A61" s="131"/>
      <c r="B61" s="131"/>
      <c r="C61" s="131"/>
      <c r="D61" s="131"/>
      <c r="E61" s="131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  <c r="V61" s="131"/>
      <c r="W61" s="131"/>
      <c r="X61" s="131"/>
      <c r="Y61" s="131"/>
      <c r="Z61" s="131"/>
      <c r="AA61" s="131"/>
      <c r="AB61" s="131"/>
      <c r="AC61" s="131"/>
      <c r="AD61" s="131"/>
      <c r="AE61" s="131"/>
      <c r="AF61" s="131"/>
      <c r="AG61" s="131"/>
      <c r="AH61" s="131"/>
      <c r="AI61" s="131"/>
      <c r="AJ61" s="131"/>
      <c r="AK61" s="131"/>
      <c r="AL61" s="131"/>
      <c r="AM61" s="131"/>
      <c r="AN61" s="131"/>
      <c r="AO61" s="131"/>
    </row>
    <row r="62" spans="1:41" x14ac:dyDescent="0.15">
      <c r="A62" s="131"/>
      <c r="B62" s="131"/>
      <c r="C62" s="131"/>
      <c r="D62" s="131"/>
      <c r="E62" s="131"/>
      <c r="F62" s="131"/>
      <c r="G62" s="131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31"/>
      <c r="X62" s="131"/>
      <c r="Y62" s="131"/>
      <c r="Z62" s="131"/>
      <c r="AA62" s="131"/>
      <c r="AB62" s="131"/>
      <c r="AC62" s="131"/>
      <c r="AD62" s="131"/>
      <c r="AE62" s="131"/>
      <c r="AF62" s="131"/>
      <c r="AG62" s="131"/>
      <c r="AH62" s="131"/>
      <c r="AI62" s="131"/>
      <c r="AJ62" s="131"/>
      <c r="AK62" s="131"/>
      <c r="AL62" s="131"/>
      <c r="AM62" s="131"/>
      <c r="AN62" s="131"/>
      <c r="AO62" s="131"/>
    </row>
    <row r="63" spans="1:41" x14ac:dyDescent="0.15">
      <c r="A63" s="133" t="s">
        <v>784</v>
      </c>
      <c r="B63" s="133"/>
      <c r="C63" s="133"/>
      <c r="D63" s="133"/>
      <c r="E63" s="133"/>
      <c r="F63" s="133"/>
      <c r="G63" s="133"/>
      <c r="H63" s="133"/>
      <c r="I63" s="133"/>
      <c r="J63" s="133"/>
      <c r="K63" s="133"/>
      <c r="L63" s="133"/>
      <c r="M63" s="133"/>
      <c r="N63" s="133"/>
      <c r="O63" s="133"/>
      <c r="P63" s="133"/>
      <c r="Q63" s="133"/>
      <c r="R63" s="133"/>
      <c r="S63" s="133"/>
      <c r="T63" s="133"/>
      <c r="U63" s="133"/>
      <c r="V63" s="133"/>
      <c r="W63" s="133"/>
      <c r="X63" s="133"/>
      <c r="Y63" s="133"/>
      <c r="Z63" s="133"/>
      <c r="AA63" s="133"/>
      <c r="AB63" s="133"/>
      <c r="AC63" s="133"/>
      <c r="AD63" s="133"/>
      <c r="AE63" s="133"/>
      <c r="AF63" s="133"/>
      <c r="AG63" s="133"/>
      <c r="AH63" s="133"/>
      <c r="AI63" s="133"/>
      <c r="AJ63" s="133"/>
      <c r="AK63" s="133"/>
      <c r="AL63" s="133"/>
      <c r="AM63" s="133"/>
      <c r="AN63" s="133"/>
      <c r="AO63" s="133"/>
    </row>
    <row r="64" spans="1:41" x14ac:dyDescent="0.15">
      <c r="A64" s="132" t="s">
        <v>787</v>
      </c>
      <c r="B64" s="131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  <c r="V64" s="131"/>
      <c r="W64" s="131"/>
      <c r="X64" s="131"/>
      <c r="Y64" s="131"/>
      <c r="Z64" s="131"/>
      <c r="AA64" s="131"/>
      <c r="AB64" s="131"/>
      <c r="AC64" s="131"/>
      <c r="AD64" s="131"/>
      <c r="AE64" s="131"/>
      <c r="AF64" s="131"/>
      <c r="AG64" s="131"/>
      <c r="AH64" s="131"/>
      <c r="AI64" s="131"/>
      <c r="AJ64" s="131"/>
      <c r="AK64" s="131"/>
      <c r="AL64" s="131"/>
      <c r="AM64" s="131"/>
      <c r="AN64" s="131"/>
      <c r="AO64" s="131"/>
    </row>
    <row r="65" spans="1:41" x14ac:dyDescent="0.15">
      <c r="A65" s="132" t="s">
        <v>805</v>
      </c>
      <c r="B65" s="131"/>
      <c r="C65" s="131"/>
      <c r="D65" s="131"/>
      <c r="E65" s="131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  <c r="V65" s="131"/>
      <c r="W65" s="131"/>
      <c r="X65" s="131"/>
      <c r="Y65" s="131"/>
      <c r="Z65" s="131"/>
      <c r="AA65" s="131"/>
      <c r="AB65" s="131"/>
      <c r="AC65" s="131"/>
      <c r="AD65" s="131"/>
      <c r="AE65" s="131"/>
      <c r="AF65" s="131"/>
      <c r="AG65" s="131"/>
      <c r="AH65" s="131"/>
      <c r="AI65" s="131"/>
      <c r="AJ65" s="131"/>
      <c r="AK65" s="131"/>
      <c r="AL65" s="131"/>
      <c r="AM65" s="131"/>
      <c r="AN65" s="131"/>
      <c r="AO65" s="131"/>
    </row>
    <row r="66" spans="1:41" x14ac:dyDescent="0.15">
      <c r="A66" s="132" t="s">
        <v>806</v>
      </c>
      <c r="B66" s="131"/>
      <c r="C66" s="131"/>
      <c r="D66" s="131"/>
      <c r="E66" s="131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  <c r="V66" s="131"/>
      <c r="W66" s="131"/>
      <c r="X66" s="131"/>
      <c r="Y66" s="131"/>
      <c r="Z66" s="131"/>
      <c r="AA66" s="131"/>
      <c r="AB66" s="131"/>
      <c r="AC66" s="131"/>
      <c r="AD66" s="131"/>
      <c r="AE66" s="131"/>
      <c r="AF66" s="131"/>
      <c r="AG66" s="131"/>
      <c r="AH66" s="131"/>
      <c r="AI66" s="131"/>
      <c r="AJ66" s="131"/>
      <c r="AK66" s="131"/>
      <c r="AL66" s="131"/>
      <c r="AM66" s="131"/>
      <c r="AN66" s="131"/>
      <c r="AO66" s="131"/>
    </row>
    <row r="67" spans="1:41" x14ac:dyDescent="0.15">
      <c r="A67" s="132" t="s">
        <v>807</v>
      </c>
      <c r="B67" s="131"/>
      <c r="C67" s="131"/>
      <c r="D67" s="131"/>
      <c r="E67" s="131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  <c r="V67" s="131"/>
      <c r="W67" s="131"/>
      <c r="X67" s="131"/>
      <c r="Y67" s="131"/>
      <c r="Z67" s="131"/>
      <c r="AA67" s="131"/>
      <c r="AB67" s="131"/>
      <c r="AC67" s="131"/>
      <c r="AD67" s="131"/>
      <c r="AE67" s="131"/>
      <c r="AF67" s="131"/>
      <c r="AG67" s="131"/>
      <c r="AH67" s="131"/>
      <c r="AI67" s="131"/>
      <c r="AJ67" s="131"/>
      <c r="AK67" s="131"/>
      <c r="AL67" s="131"/>
      <c r="AM67" s="131"/>
      <c r="AN67" s="131"/>
      <c r="AO67" s="131"/>
    </row>
    <row r="68" spans="1:41" x14ac:dyDescent="0.15">
      <c r="A68" s="132" t="s">
        <v>784</v>
      </c>
      <c r="B68" s="131"/>
      <c r="C68" s="131"/>
      <c r="D68" s="131"/>
      <c r="E68" s="131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  <c r="V68" s="131"/>
      <c r="W68" s="131"/>
      <c r="X68" s="131"/>
      <c r="Y68" s="131"/>
      <c r="Z68" s="131"/>
      <c r="AA68" s="131"/>
      <c r="AB68" s="131"/>
      <c r="AC68" s="131"/>
      <c r="AD68" s="131"/>
      <c r="AE68" s="131"/>
      <c r="AF68" s="131"/>
      <c r="AG68" s="131"/>
      <c r="AH68" s="131"/>
      <c r="AI68" s="131"/>
      <c r="AJ68" s="131"/>
      <c r="AK68" s="131"/>
      <c r="AL68" s="131"/>
      <c r="AM68" s="131"/>
      <c r="AN68" s="131"/>
      <c r="AO68" s="131"/>
    </row>
    <row r="69" spans="1:41" x14ac:dyDescent="0.15">
      <c r="A69" s="132" t="s">
        <v>808</v>
      </c>
      <c r="B69" s="131"/>
      <c r="C69" s="131"/>
      <c r="D69" s="131"/>
      <c r="E69" s="131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  <c r="AA69" s="131"/>
      <c r="AB69" s="131"/>
      <c r="AC69" s="131"/>
      <c r="AD69" s="131"/>
      <c r="AE69" s="131"/>
      <c r="AF69" s="131"/>
      <c r="AG69" s="131"/>
      <c r="AH69" s="131"/>
      <c r="AI69" s="131"/>
      <c r="AJ69" s="131"/>
      <c r="AK69" s="131"/>
      <c r="AL69" s="131"/>
      <c r="AM69" s="131"/>
      <c r="AN69" s="131"/>
      <c r="AO69" s="131"/>
    </row>
    <row r="70" spans="1:41" x14ac:dyDescent="0.15">
      <c r="A70" s="132" t="s">
        <v>809</v>
      </c>
      <c r="B70" s="131"/>
      <c r="C70" s="131"/>
      <c r="D70" s="131"/>
      <c r="E70" s="131"/>
      <c r="F70" s="131"/>
      <c r="G70" s="131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  <c r="V70" s="131"/>
      <c r="W70" s="131"/>
      <c r="X70" s="131"/>
      <c r="Y70" s="131"/>
      <c r="Z70" s="131"/>
      <c r="AA70" s="131"/>
      <c r="AB70" s="131"/>
      <c r="AC70" s="131"/>
      <c r="AD70" s="131"/>
      <c r="AE70" s="131"/>
      <c r="AF70" s="131"/>
      <c r="AG70" s="131"/>
      <c r="AH70" s="131"/>
      <c r="AI70" s="131"/>
      <c r="AJ70" s="131"/>
      <c r="AK70" s="131"/>
      <c r="AL70" s="131"/>
      <c r="AM70" s="131"/>
      <c r="AN70" s="131"/>
      <c r="AO70" s="131"/>
    </row>
    <row r="71" spans="1:41" x14ac:dyDescent="0.15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  <c r="V71" s="131"/>
      <c r="W71" s="131"/>
      <c r="X71" s="131"/>
      <c r="Y71" s="131"/>
      <c r="Z71" s="131"/>
      <c r="AA71" s="131"/>
      <c r="AB71" s="131"/>
      <c r="AC71" s="131"/>
      <c r="AD71" s="131"/>
      <c r="AE71" s="131"/>
      <c r="AF71" s="131"/>
      <c r="AG71" s="131"/>
      <c r="AH71" s="131"/>
      <c r="AI71" s="131"/>
      <c r="AJ71" s="131"/>
      <c r="AK71" s="131"/>
      <c r="AL71" s="131"/>
      <c r="AM71" s="131"/>
      <c r="AN71" s="131"/>
      <c r="AO71" s="131"/>
    </row>
    <row r="72" spans="1:41" x14ac:dyDescent="0.15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  <c r="V72" s="131"/>
      <c r="W72" s="131"/>
      <c r="X72" s="131"/>
      <c r="Y72" s="131"/>
      <c r="Z72" s="131"/>
      <c r="AA72" s="131"/>
      <c r="AB72" s="131"/>
      <c r="AC72" s="131"/>
      <c r="AD72" s="131"/>
      <c r="AE72" s="131"/>
      <c r="AF72" s="131"/>
      <c r="AG72" s="131"/>
      <c r="AH72" s="131"/>
      <c r="AI72" s="131"/>
      <c r="AJ72" s="131"/>
      <c r="AK72" s="131"/>
      <c r="AL72" s="131"/>
      <c r="AM72" s="131"/>
      <c r="AN72" s="131"/>
      <c r="AO72" s="131"/>
    </row>
    <row r="73" spans="1:41" x14ac:dyDescent="0.15">
      <c r="A73" s="131"/>
      <c r="B73" s="131"/>
      <c r="C73" s="131"/>
      <c r="D73" s="131"/>
      <c r="E73" s="131"/>
      <c r="F73" s="131"/>
      <c r="G73" s="131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  <c r="V73" s="131"/>
      <c r="W73" s="131"/>
      <c r="X73" s="131"/>
      <c r="Y73" s="131"/>
      <c r="Z73" s="131"/>
      <c r="AA73" s="131"/>
      <c r="AB73" s="131"/>
      <c r="AC73" s="131"/>
      <c r="AD73" s="131"/>
      <c r="AE73" s="131"/>
      <c r="AF73" s="131"/>
      <c r="AG73" s="131"/>
      <c r="AH73" s="131"/>
      <c r="AI73" s="131"/>
      <c r="AJ73" s="131"/>
      <c r="AK73" s="131"/>
      <c r="AL73" s="131"/>
      <c r="AM73" s="131"/>
      <c r="AN73" s="131"/>
      <c r="AO73" s="131"/>
    </row>
    <row r="74" spans="1:41" x14ac:dyDescent="0.15">
      <c r="A74" s="131"/>
      <c r="B74" s="131"/>
      <c r="C74" s="131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  <c r="V74" s="131"/>
      <c r="W74" s="131"/>
      <c r="X74" s="131"/>
      <c r="Y74" s="131"/>
      <c r="Z74" s="131"/>
      <c r="AA74" s="131"/>
      <c r="AB74" s="131"/>
      <c r="AC74" s="131"/>
      <c r="AD74" s="131"/>
      <c r="AE74" s="131"/>
      <c r="AF74" s="131"/>
      <c r="AG74" s="131"/>
      <c r="AH74" s="131"/>
      <c r="AI74" s="131"/>
      <c r="AJ74" s="131"/>
      <c r="AK74" s="131"/>
      <c r="AL74" s="131"/>
      <c r="AM74" s="131"/>
      <c r="AN74" s="131"/>
      <c r="AO74" s="131"/>
    </row>
    <row r="75" spans="1:41" x14ac:dyDescent="0.15">
      <c r="A75" s="131"/>
      <c r="B75" s="131"/>
      <c r="C75" s="131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  <c r="V75" s="131"/>
      <c r="W75" s="131"/>
      <c r="X75" s="131"/>
      <c r="Y75" s="131"/>
      <c r="Z75" s="131"/>
      <c r="AA75" s="131"/>
      <c r="AB75" s="131"/>
      <c r="AC75" s="131"/>
      <c r="AD75" s="131"/>
      <c r="AE75" s="131"/>
      <c r="AF75" s="131"/>
      <c r="AG75" s="131"/>
      <c r="AH75" s="131"/>
      <c r="AI75" s="131"/>
      <c r="AJ75" s="131"/>
      <c r="AK75" s="131"/>
      <c r="AL75" s="131"/>
      <c r="AM75" s="131"/>
      <c r="AN75" s="131"/>
      <c r="AO75" s="131"/>
    </row>
    <row r="76" spans="1:41" x14ac:dyDescent="0.15">
      <c r="A76" s="133" t="s">
        <v>785</v>
      </c>
      <c r="B76" s="133"/>
      <c r="C76" s="133"/>
      <c r="D76" s="133"/>
      <c r="E76" s="133"/>
      <c r="F76" s="133"/>
      <c r="G76" s="133"/>
      <c r="H76" s="133"/>
      <c r="I76" s="133"/>
      <c r="J76" s="133"/>
      <c r="K76" s="133"/>
      <c r="L76" s="133"/>
      <c r="M76" s="133"/>
      <c r="N76" s="133"/>
      <c r="O76" s="133"/>
      <c r="P76" s="133"/>
      <c r="Q76" s="133"/>
      <c r="R76" s="133"/>
      <c r="S76" s="133"/>
      <c r="T76" s="133"/>
      <c r="U76" s="133"/>
      <c r="V76" s="133"/>
      <c r="W76" s="133"/>
      <c r="X76" s="133"/>
      <c r="Y76" s="133"/>
      <c r="Z76" s="133"/>
      <c r="AA76" s="133"/>
      <c r="AB76" s="133"/>
      <c r="AC76" s="133"/>
      <c r="AD76" s="133"/>
      <c r="AE76" s="133"/>
      <c r="AF76" s="133"/>
      <c r="AG76" s="133"/>
      <c r="AH76" s="133"/>
      <c r="AI76" s="133"/>
      <c r="AJ76" s="133"/>
      <c r="AK76" s="133"/>
      <c r="AL76" s="133"/>
      <c r="AM76" s="133"/>
      <c r="AN76" s="133"/>
      <c r="AO76" s="133"/>
    </row>
    <row r="77" spans="1:41" x14ac:dyDescent="0.15">
      <c r="A77" s="132" t="s">
        <v>787</v>
      </c>
      <c r="B77" s="131"/>
      <c r="C77" s="131"/>
      <c r="D77" s="131"/>
      <c r="E77" s="131"/>
      <c r="F77" s="131"/>
      <c r="G77" s="131"/>
      <c r="H77" s="131"/>
      <c r="I77" s="13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  <c r="V77" s="131"/>
      <c r="W77" s="131"/>
      <c r="X77" s="131"/>
      <c r="Y77" s="131"/>
      <c r="Z77" s="131"/>
      <c r="AA77" s="131"/>
      <c r="AB77" s="131"/>
      <c r="AC77" s="131"/>
      <c r="AD77" s="131"/>
      <c r="AE77" s="131"/>
      <c r="AF77" s="131"/>
      <c r="AG77" s="131"/>
      <c r="AH77" s="131"/>
      <c r="AI77" s="131"/>
      <c r="AJ77" s="131"/>
      <c r="AK77" s="131"/>
      <c r="AL77" s="131"/>
      <c r="AM77" s="131"/>
      <c r="AN77" s="131"/>
      <c r="AO77" s="131"/>
    </row>
    <row r="78" spans="1:41" x14ac:dyDescent="0.15">
      <c r="A78" s="132" t="s">
        <v>799</v>
      </c>
      <c r="B78" s="131"/>
      <c r="C78" s="131"/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  <c r="V78" s="131"/>
      <c r="W78" s="131"/>
      <c r="X78" s="131"/>
      <c r="Y78" s="131"/>
      <c r="Z78" s="131"/>
      <c r="AA78" s="131"/>
      <c r="AB78" s="131"/>
      <c r="AC78" s="131"/>
      <c r="AD78" s="131"/>
      <c r="AE78" s="131"/>
      <c r="AF78" s="131"/>
      <c r="AG78" s="131"/>
      <c r="AH78" s="131"/>
      <c r="AI78" s="131"/>
      <c r="AJ78" s="131"/>
      <c r="AK78" s="131"/>
      <c r="AL78" s="131"/>
      <c r="AM78" s="131"/>
      <c r="AN78" s="131"/>
      <c r="AO78" s="131"/>
    </row>
    <row r="79" spans="1:41" x14ac:dyDescent="0.15">
      <c r="A79" s="132" t="s">
        <v>800</v>
      </c>
      <c r="B79" s="131"/>
      <c r="C79" s="131"/>
      <c r="D79" s="131"/>
      <c r="E79" s="131"/>
      <c r="F79" s="131"/>
      <c r="G79" s="131"/>
      <c r="H79" s="131"/>
      <c r="I79" s="13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  <c r="V79" s="131"/>
      <c r="W79" s="131"/>
      <c r="X79" s="131"/>
      <c r="Y79" s="131"/>
      <c r="Z79" s="131"/>
      <c r="AA79" s="131"/>
      <c r="AB79" s="131"/>
      <c r="AC79" s="131"/>
      <c r="AD79" s="131"/>
      <c r="AE79" s="131"/>
      <c r="AF79" s="131"/>
      <c r="AG79" s="131"/>
      <c r="AH79" s="131"/>
      <c r="AI79" s="131"/>
      <c r="AJ79" s="131"/>
      <c r="AK79" s="131"/>
      <c r="AL79" s="131"/>
      <c r="AM79" s="131"/>
      <c r="AN79" s="131"/>
      <c r="AO79" s="131"/>
    </row>
    <row r="80" spans="1:41" x14ac:dyDescent="0.15">
      <c r="A80" s="132" t="s">
        <v>801</v>
      </c>
      <c r="B80" s="131"/>
      <c r="C80" s="131"/>
      <c r="D80" s="131"/>
      <c r="E80" s="131"/>
      <c r="F80" s="131"/>
      <c r="G80" s="131"/>
      <c r="H80" s="131"/>
      <c r="I80" s="13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  <c r="V80" s="131"/>
      <c r="W80" s="131"/>
      <c r="X80" s="131"/>
      <c r="Y80" s="131"/>
      <c r="Z80" s="131"/>
      <c r="AA80" s="131"/>
      <c r="AB80" s="131"/>
      <c r="AC80" s="131"/>
      <c r="AD80" s="131"/>
      <c r="AE80" s="131"/>
      <c r="AF80" s="131"/>
      <c r="AG80" s="131"/>
      <c r="AH80" s="131"/>
      <c r="AI80" s="131"/>
      <c r="AJ80" s="131"/>
      <c r="AK80" s="131"/>
      <c r="AL80" s="131"/>
      <c r="AM80" s="131"/>
      <c r="AN80" s="131"/>
      <c r="AO80" s="131"/>
    </row>
    <row r="81" spans="1:41" x14ac:dyDescent="0.15">
      <c r="A81" s="132" t="s">
        <v>802</v>
      </c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  <c r="V81" s="131"/>
      <c r="W81" s="131"/>
      <c r="X81" s="131"/>
      <c r="Y81" s="131"/>
      <c r="Z81" s="131"/>
      <c r="AA81" s="131"/>
      <c r="AB81" s="131"/>
      <c r="AC81" s="131"/>
      <c r="AD81" s="131"/>
      <c r="AE81" s="131"/>
      <c r="AF81" s="131"/>
      <c r="AG81" s="131"/>
      <c r="AH81" s="131"/>
      <c r="AI81" s="131"/>
      <c r="AJ81" s="131"/>
      <c r="AK81" s="131"/>
      <c r="AL81" s="131"/>
      <c r="AM81" s="131"/>
      <c r="AN81" s="131"/>
      <c r="AO81" s="131"/>
    </row>
    <row r="82" spans="1:41" x14ac:dyDescent="0.15">
      <c r="A82" s="132" t="s">
        <v>803</v>
      </c>
      <c r="B82" s="131"/>
      <c r="C82" s="131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31"/>
      <c r="Y82" s="131"/>
      <c r="Z82" s="131"/>
      <c r="AA82" s="131"/>
      <c r="AB82" s="131"/>
      <c r="AC82" s="131"/>
      <c r="AD82" s="131"/>
      <c r="AE82" s="131"/>
      <c r="AF82" s="131"/>
      <c r="AG82" s="131"/>
      <c r="AH82" s="131"/>
      <c r="AI82" s="131"/>
      <c r="AJ82" s="131"/>
      <c r="AK82" s="131"/>
      <c r="AL82" s="131"/>
      <c r="AM82" s="131"/>
      <c r="AN82" s="131"/>
      <c r="AO82" s="131"/>
    </row>
    <row r="83" spans="1:41" x14ac:dyDescent="0.15">
      <c r="A83" s="132" t="s">
        <v>804</v>
      </c>
      <c r="B83" s="131"/>
      <c r="C83" s="131"/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  <c r="V83" s="131"/>
      <c r="W83" s="131"/>
      <c r="X83" s="131"/>
      <c r="Y83" s="131"/>
      <c r="Z83" s="131"/>
      <c r="AA83" s="131"/>
      <c r="AB83" s="131"/>
      <c r="AC83" s="131"/>
      <c r="AD83" s="131"/>
      <c r="AE83" s="131"/>
      <c r="AF83" s="131"/>
      <c r="AG83" s="131"/>
      <c r="AH83" s="131"/>
      <c r="AI83" s="131"/>
      <c r="AJ83" s="131"/>
      <c r="AK83" s="131"/>
      <c r="AL83" s="131"/>
      <c r="AM83" s="131"/>
      <c r="AN83" s="131"/>
      <c r="AO83" s="131"/>
    </row>
    <row r="84" spans="1:41" x14ac:dyDescent="0.15">
      <c r="A84" s="131"/>
      <c r="B84" s="131"/>
      <c r="C84" s="131"/>
      <c r="D84" s="131"/>
      <c r="E84" s="131"/>
      <c r="F84" s="131"/>
      <c r="G84" s="131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31"/>
      <c r="Y84" s="131"/>
      <c r="Z84" s="131"/>
      <c r="AA84" s="131"/>
      <c r="AB84" s="131"/>
      <c r="AC84" s="131"/>
      <c r="AD84" s="131"/>
      <c r="AE84" s="131"/>
      <c r="AF84" s="131"/>
      <c r="AG84" s="131"/>
      <c r="AH84" s="131"/>
      <c r="AI84" s="131"/>
      <c r="AJ84" s="131"/>
      <c r="AK84" s="131"/>
      <c r="AL84" s="131"/>
      <c r="AM84" s="131"/>
      <c r="AN84" s="131"/>
      <c r="AO84" s="131"/>
    </row>
    <row r="85" spans="1:41" x14ac:dyDescent="0.15">
      <c r="A85" s="131"/>
      <c r="B85" s="131"/>
      <c r="C85" s="131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  <c r="V85" s="131"/>
      <c r="W85" s="131"/>
      <c r="X85" s="131"/>
      <c r="Y85" s="131"/>
      <c r="Z85" s="131"/>
      <c r="AA85" s="131"/>
      <c r="AB85" s="131"/>
      <c r="AC85" s="131"/>
      <c r="AD85" s="131"/>
      <c r="AE85" s="131"/>
      <c r="AF85" s="131"/>
      <c r="AG85" s="131"/>
      <c r="AH85" s="131"/>
      <c r="AI85" s="131"/>
      <c r="AJ85" s="131"/>
      <c r="AK85" s="131"/>
      <c r="AL85" s="131"/>
      <c r="AM85" s="131"/>
      <c r="AN85" s="131"/>
      <c r="AO85" s="131"/>
    </row>
    <row r="86" spans="1:41" x14ac:dyDescent="0.15">
      <c r="A86" s="131"/>
      <c r="B86" s="131"/>
      <c r="C86" s="131"/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  <c r="V86" s="131"/>
      <c r="W86" s="131"/>
      <c r="X86" s="131"/>
      <c r="Y86" s="131"/>
      <c r="Z86" s="131"/>
      <c r="AA86" s="131"/>
      <c r="AB86" s="131"/>
      <c r="AC86" s="131"/>
      <c r="AD86" s="131"/>
      <c r="AE86" s="131"/>
      <c r="AF86" s="131"/>
      <c r="AG86" s="131"/>
      <c r="AH86" s="131"/>
      <c r="AI86" s="131"/>
      <c r="AJ86" s="131"/>
      <c r="AK86" s="131"/>
      <c r="AL86" s="131"/>
      <c r="AM86" s="131"/>
      <c r="AN86" s="131"/>
      <c r="AO86" s="131"/>
    </row>
    <row r="87" spans="1:41" x14ac:dyDescent="0.15">
      <c r="A87" s="131"/>
      <c r="B87" s="131"/>
      <c r="C87" s="131"/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  <c r="V87" s="131"/>
      <c r="W87" s="131"/>
      <c r="X87" s="131"/>
      <c r="Y87" s="131"/>
      <c r="Z87" s="131"/>
      <c r="AA87" s="131"/>
      <c r="AB87" s="131"/>
      <c r="AC87" s="131"/>
      <c r="AD87" s="131"/>
      <c r="AE87" s="131"/>
      <c r="AF87" s="131"/>
      <c r="AG87" s="131"/>
      <c r="AH87" s="131"/>
      <c r="AI87" s="131"/>
      <c r="AJ87" s="131"/>
      <c r="AK87" s="131"/>
      <c r="AL87" s="131"/>
      <c r="AM87" s="131"/>
      <c r="AN87" s="131"/>
      <c r="AO87" s="131"/>
    </row>
    <row r="88" spans="1:41" x14ac:dyDescent="0.15">
      <c r="A88" s="131"/>
      <c r="B88" s="131"/>
      <c r="C88" s="131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1"/>
      <c r="O88" s="131"/>
      <c r="P88" s="131"/>
      <c r="Q88" s="131"/>
      <c r="R88" s="131"/>
      <c r="S88" s="131"/>
      <c r="T88" s="131"/>
      <c r="U88" s="131"/>
      <c r="V88" s="131"/>
      <c r="W88" s="131"/>
      <c r="X88" s="131"/>
      <c r="Y88" s="131"/>
      <c r="Z88" s="131"/>
      <c r="AA88" s="131"/>
      <c r="AB88" s="131"/>
      <c r="AC88" s="131"/>
      <c r="AD88" s="131"/>
      <c r="AE88" s="131"/>
      <c r="AF88" s="131"/>
      <c r="AG88" s="131"/>
      <c r="AH88" s="131"/>
      <c r="AI88" s="131"/>
      <c r="AJ88" s="131"/>
      <c r="AK88" s="131"/>
      <c r="AL88" s="131"/>
      <c r="AM88" s="131"/>
      <c r="AN88" s="131"/>
      <c r="AO88" s="131"/>
    </row>
    <row r="89" spans="1:41" x14ac:dyDescent="0.15">
      <c r="A89" s="131"/>
      <c r="B89" s="131"/>
      <c r="C89" s="131"/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  <c r="V89" s="131"/>
      <c r="W89" s="131"/>
      <c r="X89" s="131"/>
      <c r="Y89" s="131"/>
      <c r="Z89" s="131"/>
      <c r="AA89" s="131"/>
      <c r="AB89" s="131"/>
      <c r="AC89" s="131"/>
      <c r="AD89" s="131"/>
      <c r="AE89" s="131"/>
      <c r="AF89" s="131"/>
      <c r="AG89" s="131"/>
      <c r="AH89" s="131"/>
      <c r="AI89" s="131"/>
      <c r="AJ89" s="131"/>
      <c r="AK89" s="131"/>
      <c r="AL89" s="131"/>
      <c r="AM89" s="131"/>
      <c r="AN89" s="131"/>
      <c r="AO89" s="131"/>
    </row>
    <row r="90" spans="1:41" x14ac:dyDescent="0.15">
      <c r="A90" s="131"/>
      <c r="B90" s="131"/>
      <c r="C90" s="131"/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  <c r="V90" s="131"/>
      <c r="W90" s="131"/>
      <c r="X90" s="131"/>
      <c r="Y90" s="131"/>
      <c r="Z90" s="131"/>
      <c r="AA90" s="131"/>
      <c r="AB90" s="131"/>
      <c r="AC90" s="131"/>
      <c r="AD90" s="131"/>
      <c r="AE90" s="131"/>
      <c r="AF90" s="131"/>
      <c r="AG90" s="131"/>
      <c r="AH90" s="131"/>
      <c r="AI90" s="131"/>
      <c r="AJ90" s="131"/>
      <c r="AK90" s="131"/>
      <c r="AL90" s="131"/>
      <c r="AM90" s="131"/>
      <c r="AN90" s="131"/>
      <c r="AO90" s="131"/>
    </row>
    <row r="91" spans="1:41" x14ac:dyDescent="0.15">
      <c r="A91" s="131"/>
      <c r="B91" s="131"/>
      <c r="C91" s="131"/>
      <c r="D91" s="131"/>
      <c r="E91" s="131"/>
      <c r="F91" s="131"/>
      <c r="G91" s="131"/>
      <c r="H91" s="131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  <c r="V91" s="131"/>
      <c r="W91" s="131"/>
      <c r="X91" s="131"/>
      <c r="Y91" s="131"/>
      <c r="Z91" s="131"/>
      <c r="AA91" s="131"/>
      <c r="AB91" s="131"/>
      <c r="AC91" s="131"/>
      <c r="AD91" s="131"/>
      <c r="AE91" s="131"/>
      <c r="AF91" s="131"/>
      <c r="AG91" s="131"/>
      <c r="AH91" s="131"/>
      <c r="AI91" s="131"/>
      <c r="AJ91" s="131"/>
      <c r="AK91" s="131"/>
      <c r="AL91" s="131"/>
      <c r="AM91" s="131"/>
      <c r="AN91" s="131"/>
      <c r="AO91" s="131"/>
    </row>
    <row r="92" spans="1:41" x14ac:dyDescent="0.15">
      <c r="A92" s="133" t="s">
        <v>786</v>
      </c>
      <c r="B92" s="133"/>
      <c r="C92" s="133"/>
      <c r="D92" s="133"/>
      <c r="E92" s="133"/>
      <c r="F92" s="133"/>
      <c r="G92" s="133"/>
      <c r="H92" s="133"/>
      <c r="I92" s="133"/>
      <c r="J92" s="133"/>
      <c r="K92" s="133"/>
      <c r="L92" s="133"/>
      <c r="M92" s="133"/>
      <c r="N92" s="133"/>
      <c r="O92" s="133"/>
      <c r="P92" s="133"/>
      <c r="Q92" s="133"/>
      <c r="R92" s="133"/>
      <c r="S92" s="133"/>
      <c r="T92" s="133"/>
      <c r="U92" s="133"/>
      <c r="V92" s="133"/>
      <c r="W92" s="133"/>
      <c r="X92" s="133"/>
      <c r="Y92" s="133"/>
      <c r="Z92" s="133"/>
      <c r="AA92" s="133"/>
      <c r="AB92" s="133"/>
      <c r="AC92" s="133"/>
      <c r="AD92" s="133"/>
      <c r="AE92" s="133"/>
      <c r="AF92" s="133"/>
      <c r="AG92" s="133"/>
      <c r="AH92" s="133"/>
      <c r="AI92" s="133"/>
      <c r="AJ92" s="133"/>
      <c r="AK92" s="133"/>
      <c r="AL92" s="133"/>
      <c r="AM92" s="133"/>
      <c r="AN92" s="133"/>
      <c r="AO92" s="133"/>
    </row>
    <row r="93" spans="1:41" x14ac:dyDescent="0.15">
      <c r="A93" s="134" t="s">
        <v>787</v>
      </c>
      <c r="B93" s="131"/>
      <c r="C93" s="131"/>
      <c r="D93" s="131"/>
      <c r="E93" s="131"/>
      <c r="F93" s="131"/>
      <c r="G93" s="131"/>
      <c r="H93" s="131"/>
      <c r="I93" s="131"/>
      <c r="J93" s="131"/>
      <c r="K93" s="131"/>
      <c r="L93" s="131"/>
      <c r="M93" s="131"/>
      <c r="N93" s="131"/>
      <c r="O93" s="131"/>
      <c r="P93" s="131"/>
      <c r="Q93" s="131"/>
      <c r="R93" s="131"/>
      <c r="S93" s="131"/>
      <c r="T93" s="131"/>
      <c r="U93" s="131"/>
      <c r="V93" s="131"/>
      <c r="W93" s="131"/>
      <c r="X93" s="131"/>
      <c r="Y93" s="131"/>
      <c r="Z93" s="131"/>
      <c r="AA93" s="131"/>
      <c r="AB93" s="131"/>
      <c r="AC93" s="131"/>
      <c r="AD93" s="131"/>
      <c r="AE93" s="131"/>
      <c r="AF93" s="131"/>
      <c r="AG93" s="131"/>
      <c r="AH93" s="131"/>
      <c r="AI93" s="131"/>
      <c r="AJ93" s="131"/>
      <c r="AK93" s="131"/>
      <c r="AL93" s="131"/>
      <c r="AM93" s="131"/>
      <c r="AN93" s="131"/>
      <c r="AO93" s="131"/>
    </row>
    <row r="94" spans="1:41" x14ac:dyDescent="0.15">
      <c r="A94" s="134" t="s">
        <v>788</v>
      </c>
      <c r="B94" s="131"/>
      <c r="C94" s="131"/>
      <c r="D94" s="131"/>
      <c r="E94" s="131"/>
      <c r="F94" s="131"/>
      <c r="G94" s="131"/>
      <c r="H94" s="131"/>
      <c r="I94" s="131"/>
      <c r="J94" s="131"/>
      <c r="K94" s="131"/>
      <c r="L94" s="131"/>
      <c r="M94" s="131"/>
      <c r="N94" s="131"/>
      <c r="O94" s="131"/>
      <c r="P94" s="131"/>
      <c r="Q94" s="131"/>
      <c r="R94" s="131"/>
      <c r="S94" s="131"/>
      <c r="T94" s="131"/>
      <c r="U94" s="131"/>
      <c r="V94" s="131"/>
      <c r="W94" s="131"/>
      <c r="X94" s="131"/>
      <c r="Y94" s="131"/>
      <c r="Z94" s="131"/>
      <c r="AA94" s="131"/>
      <c r="AB94" s="131"/>
      <c r="AC94" s="131"/>
      <c r="AD94" s="131"/>
      <c r="AE94" s="131"/>
      <c r="AF94" s="131"/>
      <c r="AG94" s="131"/>
      <c r="AH94" s="131"/>
      <c r="AI94" s="131"/>
      <c r="AJ94" s="131"/>
      <c r="AK94" s="131"/>
      <c r="AL94" s="131"/>
      <c r="AM94" s="131"/>
      <c r="AN94" s="131"/>
      <c r="AO94" s="131"/>
    </row>
    <row r="95" spans="1:41" x14ac:dyDescent="0.15">
      <c r="A95" s="134" t="s">
        <v>789</v>
      </c>
      <c r="B95" s="131"/>
      <c r="C95" s="131"/>
      <c r="D95" s="131"/>
      <c r="E95" s="131"/>
      <c r="F95" s="131"/>
      <c r="G95" s="131"/>
      <c r="H95" s="131"/>
      <c r="I95" s="131"/>
      <c r="J95" s="131"/>
      <c r="K95" s="131"/>
      <c r="L95" s="131"/>
      <c r="M95" s="131"/>
      <c r="N95" s="131"/>
      <c r="O95" s="131"/>
      <c r="P95" s="131"/>
      <c r="Q95" s="131"/>
      <c r="R95" s="131"/>
      <c r="S95" s="131"/>
      <c r="T95" s="131"/>
      <c r="U95" s="131"/>
      <c r="V95" s="131"/>
      <c r="W95" s="131"/>
      <c r="X95" s="131"/>
      <c r="Y95" s="131"/>
      <c r="Z95" s="131"/>
      <c r="AA95" s="131"/>
      <c r="AB95" s="131"/>
      <c r="AC95" s="131"/>
      <c r="AD95" s="131"/>
      <c r="AE95" s="131"/>
      <c r="AF95" s="131"/>
      <c r="AG95" s="131"/>
      <c r="AH95" s="131"/>
      <c r="AI95" s="131"/>
      <c r="AJ95" s="131"/>
      <c r="AK95" s="131"/>
      <c r="AL95" s="131"/>
      <c r="AM95" s="131"/>
      <c r="AN95" s="131"/>
      <c r="AO95" s="131"/>
    </row>
    <row r="96" spans="1:41" x14ac:dyDescent="0.15">
      <c r="A96" s="134" t="s">
        <v>790</v>
      </c>
      <c r="B96" s="131"/>
      <c r="C96" s="131"/>
      <c r="D96" s="131"/>
      <c r="E96" s="131"/>
      <c r="F96" s="131"/>
      <c r="G96" s="131"/>
      <c r="H96" s="131"/>
      <c r="I96" s="131"/>
      <c r="J96" s="131"/>
      <c r="K96" s="131"/>
      <c r="L96" s="131"/>
      <c r="M96" s="131"/>
      <c r="N96" s="131"/>
      <c r="O96" s="131"/>
      <c r="P96" s="131"/>
      <c r="Q96" s="131"/>
      <c r="R96" s="131"/>
      <c r="S96" s="131"/>
      <c r="T96" s="131"/>
      <c r="U96" s="131"/>
      <c r="V96" s="131"/>
      <c r="W96" s="131"/>
      <c r="X96" s="131"/>
      <c r="Y96" s="131"/>
      <c r="Z96" s="131"/>
      <c r="AA96" s="131"/>
      <c r="AB96" s="131"/>
      <c r="AC96" s="131"/>
      <c r="AD96" s="131"/>
      <c r="AE96" s="131"/>
      <c r="AF96" s="131"/>
      <c r="AG96" s="131"/>
      <c r="AH96" s="131"/>
      <c r="AI96" s="131"/>
      <c r="AJ96" s="131"/>
      <c r="AK96" s="131"/>
      <c r="AL96" s="131"/>
      <c r="AM96" s="131"/>
      <c r="AN96" s="131"/>
      <c r="AO96" s="131"/>
    </row>
    <row r="97" spans="1:41" x14ac:dyDescent="0.15">
      <c r="A97" s="132" t="s">
        <v>791</v>
      </c>
      <c r="B97" s="131"/>
      <c r="C97" s="131"/>
      <c r="D97" s="131"/>
      <c r="E97" s="131"/>
      <c r="F97" s="131"/>
      <c r="G97" s="131"/>
      <c r="H97" s="131"/>
      <c r="I97" s="131"/>
      <c r="J97" s="131"/>
      <c r="K97" s="131"/>
      <c r="L97" s="131"/>
      <c r="M97" s="131"/>
      <c r="N97" s="131"/>
      <c r="O97" s="131"/>
      <c r="P97" s="131"/>
      <c r="Q97" s="131"/>
      <c r="R97" s="131"/>
      <c r="S97" s="131"/>
      <c r="T97" s="131"/>
      <c r="U97" s="131"/>
      <c r="V97" s="131"/>
      <c r="W97" s="131"/>
      <c r="X97" s="131"/>
      <c r="Y97" s="131"/>
      <c r="Z97" s="131"/>
      <c r="AA97" s="131"/>
      <c r="AB97" s="131"/>
      <c r="AC97" s="131"/>
      <c r="AD97" s="131"/>
      <c r="AE97" s="131"/>
      <c r="AF97" s="131"/>
      <c r="AG97" s="131"/>
      <c r="AH97" s="131"/>
      <c r="AI97" s="131"/>
      <c r="AJ97" s="131"/>
      <c r="AK97" s="131"/>
      <c r="AL97" s="131"/>
      <c r="AM97" s="131"/>
      <c r="AN97" s="131"/>
      <c r="AO97" s="131"/>
    </row>
    <row r="98" spans="1:41" x14ac:dyDescent="0.15">
      <c r="A98" s="132" t="s">
        <v>792</v>
      </c>
      <c r="B98" s="131"/>
      <c r="C98" s="131"/>
      <c r="D98" s="131"/>
      <c r="E98" s="131"/>
      <c r="F98" s="131"/>
      <c r="G98" s="131"/>
      <c r="H98" s="131"/>
      <c r="I98" s="131"/>
      <c r="J98" s="131"/>
      <c r="K98" s="131"/>
      <c r="L98" s="131"/>
      <c r="M98" s="131"/>
      <c r="N98" s="131"/>
      <c r="O98" s="131"/>
      <c r="P98" s="131"/>
      <c r="Q98" s="131"/>
      <c r="R98" s="131"/>
      <c r="S98" s="131"/>
      <c r="T98" s="131"/>
      <c r="U98" s="131"/>
      <c r="V98" s="131"/>
      <c r="W98" s="131"/>
      <c r="X98" s="131"/>
      <c r="Y98" s="131"/>
      <c r="Z98" s="131"/>
      <c r="AA98" s="131"/>
      <c r="AB98" s="131"/>
      <c r="AC98" s="131"/>
      <c r="AD98" s="131"/>
      <c r="AE98" s="131"/>
      <c r="AF98" s="131"/>
      <c r="AG98" s="131"/>
      <c r="AH98" s="131"/>
      <c r="AI98" s="131"/>
      <c r="AJ98" s="131"/>
      <c r="AK98" s="131"/>
      <c r="AL98" s="131"/>
      <c r="AM98" s="131"/>
      <c r="AN98" s="131"/>
      <c r="AO98" s="131"/>
    </row>
    <row r="99" spans="1:41" x14ac:dyDescent="0.15">
      <c r="A99" s="132" t="s">
        <v>793</v>
      </c>
      <c r="B99" s="131"/>
      <c r="C99" s="131"/>
      <c r="D99" s="131"/>
      <c r="E99" s="131"/>
      <c r="F99" s="131"/>
      <c r="G99" s="131"/>
      <c r="H99" s="131"/>
      <c r="I99" s="131"/>
      <c r="J99" s="131"/>
      <c r="K99" s="131"/>
      <c r="L99" s="131"/>
      <c r="M99" s="131"/>
      <c r="N99" s="131"/>
      <c r="O99" s="131"/>
      <c r="P99" s="131"/>
      <c r="Q99" s="131"/>
      <c r="R99" s="131"/>
      <c r="S99" s="131"/>
      <c r="T99" s="131"/>
      <c r="U99" s="131"/>
      <c r="V99" s="131"/>
      <c r="W99" s="131"/>
      <c r="X99" s="131"/>
      <c r="Y99" s="131"/>
      <c r="Z99" s="131"/>
      <c r="AA99" s="131"/>
      <c r="AB99" s="131"/>
      <c r="AC99" s="131"/>
      <c r="AD99" s="131"/>
      <c r="AE99" s="131"/>
      <c r="AF99" s="131"/>
      <c r="AG99" s="131"/>
      <c r="AH99" s="131"/>
      <c r="AI99" s="131"/>
      <c r="AJ99" s="131"/>
      <c r="AK99" s="131"/>
      <c r="AL99" s="131"/>
      <c r="AM99" s="131"/>
      <c r="AN99" s="131"/>
      <c r="AO99" s="131"/>
    </row>
    <row r="100" spans="1:41" x14ac:dyDescent="0.15">
      <c r="A100" s="132" t="s">
        <v>794</v>
      </c>
      <c r="B100" s="131"/>
      <c r="C100" s="131"/>
      <c r="D100" s="131"/>
      <c r="E100" s="131"/>
      <c r="F100" s="131"/>
      <c r="G100" s="131"/>
      <c r="H100" s="131"/>
      <c r="I100" s="131"/>
      <c r="J100" s="131"/>
      <c r="K100" s="131"/>
      <c r="L100" s="131"/>
      <c r="M100" s="131"/>
      <c r="N100" s="131"/>
      <c r="O100" s="131"/>
      <c r="P100" s="131"/>
      <c r="Q100" s="131"/>
      <c r="R100" s="131"/>
      <c r="S100" s="131"/>
      <c r="T100" s="131"/>
      <c r="U100" s="131"/>
      <c r="V100" s="131"/>
      <c r="W100" s="131"/>
      <c r="X100" s="131"/>
      <c r="Y100" s="131"/>
      <c r="Z100" s="131"/>
      <c r="AA100" s="131"/>
      <c r="AB100" s="131"/>
      <c r="AC100" s="131"/>
      <c r="AD100" s="131"/>
      <c r="AE100" s="131"/>
      <c r="AF100" s="131"/>
      <c r="AG100" s="131"/>
      <c r="AH100" s="131"/>
      <c r="AI100" s="131"/>
      <c r="AJ100" s="131"/>
      <c r="AK100" s="131"/>
      <c r="AL100" s="131"/>
      <c r="AM100" s="131"/>
      <c r="AN100" s="131"/>
      <c r="AO100" s="131"/>
    </row>
    <row r="101" spans="1:41" x14ac:dyDescent="0.15">
      <c r="A101" s="132" t="s">
        <v>795</v>
      </c>
      <c r="B101" s="131"/>
      <c r="C101" s="131"/>
      <c r="D101" s="131"/>
      <c r="E101" s="131"/>
      <c r="F101" s="131"/>
      <c r="G101" s="131"/>
      <c r="H101" s="131"/>
      <c r="I101" s="131"/>
      <c r="J101" s="131"/>
      <c r="K101" s="131"/>
      <c r="L101" s="131"/>
      <c r="M101" s="131"/>
      <c r="N101" s="131"/>
      <c r="O101" s="131"/>
      <c r="P101" s="131"/>
      <c r="Q101" s="131"/>
      <c r="R101" s="131"/>
      <c r="S101" s="131"/>
      <c r="T101" s="131"/>
      <c r="U101" s="131"/>
      <c r="V101" s="131"/>
      <c r="W101" s="131"/>
      <c r="X101" s="131"/>
      <c r="Y101" s="131"/>
      <c r="Z101" s="131"/>
      <c r="AA101" s="131"/>
      <c r="AB101" s="131"/>
      <c r="AC101" s="131"/>
      <c r="AD101" s="131"/>
      <c r="AE101" s="131"/>
      <c r="AF101" s="131"/>
      <c r="AG101" s="131"/>
      <c r="AH101" s="131"/>
      <c r="AI101" s="131"/>
      <c r="AJ101" s="131"/>
      <c r="AK101" s="131"/>
      <c r="AL101" s="131"/>
      <c r="AM101" s="131"/>
      <c r="AN101" s="131"/>
      <c r="AO101" s="131"/>
    </row>
    <row r="102" spans="1:41" x14ac:dyDescent="0.15">
      <c r="A102" s="132" t="s">
        <v>796</v>
      </c>
      <c r="B102" s="131"/>
      <c r="C102" s="131"/>
      <c r="D102" s="131"/>
      <c r="E102" s="131"/>
      <c r="F102" s="131"/>
      <c r="G102" s="131"/>
      <c r="H102" s="131"/>
      <c r="I102" s="131"/>
      <c r="J102" s="131"/>
      <c r="K102" s="131"/>
      <c r="L102" s="131"/>
      <c r="M102" s="131"/>
      <c r="N102" s="131"/>
      <c r="O102" s="131"/>
      <c r="P102" s="131"/>
      <c r="Q102" s="131"/>
      <c r="R102" s="131"/>
      <c r="S102" s="131"/>
      <c r="T102" s="131"/>
      <c r="U102" s="131"/>
      <c r="V102" s="131"/>
      <c r="W102" s="131"/>
      <c r="X102" s="131"/>
      <c r="Y102" s="131"/>
      <c r="Z102" s="131"/>
      <c r="AA102" s="131"/>
      <c r="AB102" s="131"/>
      <c r="AC102" s="131"/>
      <c r="AD102" s="131"/>
      <c r="AE102" s="131"/>
      <c r="AF102" s="131"/>
      <c r="AG102" s="131"/>
      <c r="AH102" s="131"/>
      <c r="AI102" s="131"/>
      <c r="AJ102" s="131"/>
      <c r="AK102" s="131"/>
      <c r="AL102" s="131"/>
      <c r="AM102" s="131"/>
      <c r="AN102" s="131"/>
      <c r="AO102" s="131"/>
    </row>
    <row r="103" spans="1:41" x14ac:dyDescent="0.15">
      <c r="A103" s="132" t="s">
        <v>797</v>
      </c>
      <c r="B103" s="131"/>
      <c r="C103" s="131"/>
      <c r="D103" s="131"/>
      <c r="E103" s="131"/>
      <c r="F103" s="131"/>
      <c r="G103" s="131"/>
      <c r="H103" s="131"/>
      <c r="I103" s="131"/>
      <c r="J103" s="131"/>
      <c r="K103" s="131"/>
      <c r="L103" s="131"/>
      <c r="M103" s="131"/>
      <c r="N103" s="131"/>
      <c r="O103" s="131"/>
      <c r="P103" s="131"/>
      <c r="Q103" s="131"/>
      <c r="R103" s="131"/>
      <c r="S103" s="131"/>
      <c r="T103" s="131"/>
      <c r="U103" s="131"/>
      <c r="V103" s="131"/>
      <c r="W103" s="131"/>
      <c r="X103" s="131"/>
      <c r="Y103" s="131"/>
      <c r="Z103" s="131"/>
      <c r="AA103" s="131"/>
      <c r="AB103" s="131"/>
      <c r="AC103" s="131"/>
      <c r="AD103" s="131"/>
      <c r="AE103" s="131"/>
      <c r="AF103" s="131"/>
      <c r="AG103" s="131"/>
      <c r="AH103" s="131"/>
      <c r="AI103" s="131"/>
      <c r="AJ103" s="131"/>
      <c r="AK103" s="131"/>
      <c r="AL103" s="131"/>
      <c r="AM103" s="131"/>
      <c r="AN103" s="131"/>
      <c r="AO103" s="131"/>
    </row>
    <row r="104" spans="1:41" x14ac:dyDescent="0.15">
      <c r="A104" s="132" t="s">
        <v>798</v>
      </c>
      <c r="B104" s="131"/>
      <c r="C104" s="131"/>
      <c r="D104" s="131"/>
      <c r="E104" s="131"/>
      <c r="F104" s="131"/>
      <c r="G104" s="131"/>
      <c r="H104" s="131"/>
      <c r="I104" s="131"/>
      <c r="J104" s="131"/>
      <c r="K104" s="131"/>
      <c r="L104" s="131"/>
      <c r="M104" s="131"/>
      <c r="N104" s="131"/>
      <c r="O104" s="131"/>
      <c r="P104" s="131"/>
      <c r="Q104" s="131"/>
      <c r="R104" s="131"/>
      <c r="S104" s="131"/>
      <c r="T104" s="131"/>
      <c r="U104" s="131"/>
      <c r="V104" s="131"/>
      <c r="W104" s="131"/>
      <c r="X104" s="131"/>
      <c r="Y104" s="131"/>
      <c r="Z104" s="131"/>
      <c r="AA104" s="131"/>
      <c r="AB104" s="131"/>
      <c r="AC104" s="131"/>
      <c r="AD104" s="131"/>
      <c r="AE104" s="131"/>
      <c r="AF104" s="131"/>
      <c r="AG104" s="131"/>
      <c r="AH104" s="131"/>
      <c r="AI104" s="131"/>
      <c r="AJ104" s="131"/>
      <c r="AK104" s="131"/>
      <c r="AL104" s="131"/>
      <c r="AM104" s="131"/>
      <c r="AN104" s="131"/>
      <c r="AO104" s="131"/>
    </row>
    <row r="105" spans="1:41" x14ac:dyDescent="0.15">
      <c r="A105" s="131"/>
      <c r="B105" s="131"/>
      <c r="C105" s="131"/>
      <c r="D105" s="131"/>
      <c r="E105" s="131"/>
      <c r="F105" s="131"/>
      <c r="G105" s="131"/>
      <c r="H105" s="131"/>
      <c r="I105" s="131"/>
      <c r="J105" s="131"/>
      <c r="K105" s="131"/>
      <c r="L105" s="131"/>
      <c r="M105" s="131"/>
      <c r="N105" s="131"/>
      <c r="O105" s="131"/>
      <c r="P105" s="131"/>
      <c r="Q105" s="131"/>
      <c r="R105" s="131"/>
      <c r="S105" s="131"/>
      <c r="T105" s="131"/>
      <c r="U105" s="131"/>
      <c r="V105" s="131"/>
      <c r="W105" s="131"/>
      <c r="X105" s="131"/>
      <c r="Y105" s="131"/>
      <c r="Z105" s="131"/>
      <c r="AA105" s="131"/>
      <c r="AB105" s="131"/>
      <c r="AC105" s="131"/>
      <c r="AD105" s="131"/>
      <c r="AE105" s="131"/>
      <c r="AF105" s="131"/>
      <c r="AG105" s="131"/>
      <c r="AH105" s="131"/>
      <c r="AI105" s="131"/>
      <c r="AJ105" s="131"/>
      <c r="AK105" s="131"/>
      <c r="AL105" s="131"/>
      <c r="AM105" s="131"/>
      <c r="AN105" s="131"/>
      <c r="AO105" s="131"/>
    </row>
    <row r="106" spans="1:41" x14ac:dyDescent="0.15">
      <c r="A106" s="131"/>
      <c r="B106" s="131"/>
      <c r="C106" s="131"/>
      <c r="D106" s="131"/>
      <c r="E106" s="131"/>
      <c r="F106" s="131"/>
      <c r="G106" s="131"/>
      <c r="H106" s="131"/>
      <c r="I106" s="131"/>
      <c r="J106" s="131"/>
      <c r="K106" s="131"/>
      <c r="L106" s="131"/>
      <c r="M106" s="131"/>
      <c r="N106" s="131"/>
      <c r="O106" s="131"/>
      <c r="P106" s="131"/>
      <c r="Q106" s="131"/>
      <c r="R106" s="131"/>
      <c r="S106" s="131"/>
      <c r="T106" s="131"/>
      <c r="U106" s="131"/>
      <c r="V106" s="131"/>
      <c r="W106" s="131"/>
      <c r="X106" s="131"/>
      <c r="Y106" s="131"/>
      <c r="Z106" s="131"/>
      <c r="AA106" s="131"/>
      <c r="AB106" s="131"/>
      <c r="AC106" s="131"/>
      <c r="AD106" s="131"/>
      <c r="AE106" s="131"/>
      <c r="AF106" s="131"/>
      <c r="AG106" s="131"/>
      <c r="AH106" s="131"/>
      <c r="AI106" s="131"/>
      <c r="AJ106" s="131"/>
      <c r="AK106" s="131"/>
      <c r="AL106" s="131"/>
      <c r="AM106" s="131"/>
      <c r="AN106" s="131"/>
      <c r="AO106" s="131"/>
    </row>
    <row r="107" spans="1:41" x14ac:dyDescent="0.15">
      <c r="A107" s="131"/>
      <c r="B107" s="131"/>
      <c r="C107" s="131"/>
      <c r="D107" s="131"/>
      <c r="E107" s="131"/>
      <c r="F107" s="131"/>
      <c r="G107" s="131"/>
      <c r="H107" s="131"/>
      <c r="I107" s="131"/>
      <c r="J107" s="131"/>
      <c r="K107" s="131"/>
      <c r="L107" s="131"/>
      <c r="M107" s="131"/>
      <c r="N107" s="131"/>
      <c r="O107" s="131"/>
      <c r="P107" s="131"/>
      <c r="Q107" s="131"/>
      <c r="R107" s="131"/>
      <c r="S107" s="131"/>
      <c r="T107" s="131"/>
      <c r="U107" s="131"/>
      <c r="V107" s="131"/>
      <c r="W107" s="131"/>
      <c r="X107" s="131"/>
      <c r="Y107" s="131"/>
      <c r="Z107" s="131"/>
      <c r="AA107" s="131"/>
      <c r="AB107" s="131"/>
      <c r="AC107" s="131"/>
      <c r="AD107" s="131"/>
      <c r="AE107" s="131"/>
      <c r="AF107" s="131"/>
      <c r="AG107" s="131"/>
      <c r="AH107" s="131"/>
      <c r="AI107" s="131"/>
      <c r="AJ107" s="131"/>
      <c r="AK107" s="131"/>
      <c r="AL107" s="131"/>
      <c r="AM107" s="131"/>
      <c r="AN107" s="131"/>
      <c r="AO107" s="131"/>
    </row>
    <row r="108" spans="1:41" x14ac:dyDescent="0.15">
      <c r="A108" s="131"/>
      <c r="B108" s="131"/>
      <c r="C108" s="131"/>
      <c r="D108" s="131"/>
      <c r="E108" s="131"/>
      <c r="F108" s="131"/>
      <c r="G108" s="131"/>
      <c r="H108" s="131"/>
      <c r="I108" s="131"/>
      <c r="J108" s="131"/>
      <c r="K108" s="131"/>
      <c r="L108" s="131"/>
      <c r="M108" s="131"/>
      <c r="N108" s="131"/>
      <c r="O108" s="131"/>
      <c r="P108" s="131"/>
      <c r="Q108" s="131"/>
      <c r="R108" s="131"/>
      <c r="S108" s="131"/>
      <c r="T108" s="131"/>
      <c r="U108" s="131"/>
      <c r="V108" s="131"/>
      <c r="W108" s="131"/>
      <c r="X108" s="131"/>
      <c r="Y108" s="131"/>
      <c r="Z108" s="131"/>
      <c r="AA108" s="131"/>
      <c r="AB108" s="131"/>
      <c r="AC108" s="131"/>
      <c r="AD108" s="131"/>
      <c r="AE108" s="131"/>
      <c r="AF108" s="131"/>
      <c r="AG108" s="131"/>
      <c r="AH108" s="131"/>
      <c r="AI108" s="131"/>
      <c r="AJ108" s="131"/>
      <c r="AK108" s="131"/>
      <c r="AL108" s="131"/>
      <c r="AM108" s="131"/>
      <c r="AN108" s="131"/>
      <c r="AO108" s="131"/>
    </row>
    <row r="109" spans="1:41" x14ac:dyDescent="0.15">
      <c r="A109" s="131"/>
      <c r="B109" s="131"/>
      <c r="C109" s="131"/>
      <c r="D109" s="131"/>
      <c r="E109" s="131"/>
      <c r="F109" s="131"/>
      <c r="G109" s="131"/>
      <c r="H109" s="131"/>
      <c r="I109" s="131"/>
      <c r="J109" s="131"/>
      <c r="K109" s="131"/>
      <c r="L109" s="131"/>
      <c r="M109" s="131"/>
      <c r="N109" s="131"/>
      <c r="O109" s="131"/>
      <c r="P109" s="131"/>
      <c r="Q109" s="131"/>
      <c r="R109" s="131"/>
      <c r="S109" s="131"/>
      <c r="T109" s="131"/>
      <c r="U109" s="131"/>
      <c r="V109" s="131"/>
      <c r="W109" s="131"/>
      <c r="X109" s="131"/>
      <c r="Y109" s="131"/>
      <c r="Z109" s="131"/>
      <c r="AA109" s="131"/>
      <c r="AB109" s="131"/>
      <c r="AC109" s="131"/>
      <c r="AD109" s="131"/>
      <c r="AE109" s="131"/>
      <c r="AF109" s="131"/>
      <c r="AG109" s="131"/>
      <c r="AH109" s="131"/>
      <c r="AI109" s="131"/>
      <c r="AJ109" s="131"/>
      <c r="AK109" s="131"/>
      <c r="AL109" s="131"/>
      <c r="AM109" s="131"/>
      <c r="AN109" s="131"/>
      <c r="AO109" s="131"/>
    </row>
    <row r="110" spans="1:41" x14ac:dyDescent="0.15">
      <c r="A110" s="131"/>
      <c r="B110" s="131"/>
      <c r="C110" s="131"/>
      <c r="D110" s="131"/>
      <c r="E110" s="131"/>
      <c r="F110" s="131"/>
      <c r="G110" s="131"/>
      <c r="H110" s="131"/>
      <c r="I110" s="131"/>
      <c r="J110" s="131"/>
      <c r="K110" s="131"/>
      <c r="L110" s="131"/>
      <c r="M110" s="131"/>
      <c r="N110" s="131"/>
      <c r="O110" s="131"/>
      <c r="P110" s="131"/>
      <c r="Q110" s="131"/>
      <c r="R110" s="131"/>
      <c r="S110" s="131"/>
      <c r="T110" s="131"/>
      <c r="U110" s="131"/>
      <c r="V110" s="131"/>
      <c r="W110" s="131"/>
      <c r="X110" s="131"/>
      <c r="Y110" s="131"/>
      <c r="Z110" s="131"/>
      <c r="AA110" s="131"/>
      <c r="AB110" s="131"/>
      <c r="AC110" s="131"/>
      <c r="AD110" s="131"/>
      <c r="AE110" s="131"/>
      <c r="AF110" s="131"/>
      <c r="AG110" s="131"/>
      <c r="AH110" s="131"/>
      <c r="AI110" s="131"/>
      <c r="AJ110" s="131"/>
      <c r="AK110" s="131"/>
      <c r="AL110" s="131"/>
      <c r="AM110" s="131"/>
      <c r="AN110" s="131"/>
      <c r="AO110" s="131"/>
    </row>
    <row r="111" spans="1:41" x14ac:dyDescent="0.15">
      <c r="A111" s="131"/>
      <c r="B111" s="131"/>
      <c r="C111" s="131"/>
      <c r="D111" s="131"/>
      <c r="E111" s="131"/>
      <c r="F111" s="131"/>
      <c r="G111" s="131"/>
      <c r="H111" s="131"/>
      <c r="I111" s="131"/>
      <c r="J111" s="131"/>
      <c r="K111" s="131"/>
      <c r="L111" s="131"/>
      <c r="M111" s="131"/>
      <c r="N111" s="131"/>
      <c r="O111" s="131"/>
      <c r="P111" s="131"/>
      <c r="Q111" s="131"/>
      <c r="R111" s="131"/>
      <c r="S111" s="131"/>
      <c r="T111" s="131"/>
      <c r="U111" s="131"/>
      <c r="V111" s="131"/>
      <c r="W111" s="131"/>
      <c r="X111" s="131"/>
      <c r="Y111" s="131"/>
      <c r="Z111" s="131"/>
      <c r="AA111" s="131"/>
      <c r="AB111" s="131"/>
      <c r="AC111" s="131"/>
      <c r="AD111" s="131"/>
      <c r="AE111" s="131"/>
      <c r="AF111" s="131"/>
      <c r="AG111" s="131"/>
      <c r="AH111" s="131"/>
      <c r="AI111" s="131"/>
      <c r="AJ111" s="131"/>
      <c r="AK111" s="131"/>
      <c r="AL111" s="131"/>
      <c r="AM111" s="131"/>
      <c r="AN111" s="131"/>
      <c r="AO111" s="131"/>
    </row>
    <row r="112" spans="1:41" x14ac:dyDescent="0.15">
      <c r="A112" s="131"/>
      <c r="B112" s="131"/>
      <c r="C112" s="131"/>
      <c r="D112" s="131"/>
      <c r="E112" s="131"/>
      <c r="F112" s="131"/>
      <c r="G112" s="131"/>
      <c r="H112" s="131"/>
      <c r="I112" s="131"/>
      <c r="J112" s="131"/>
      <c r="K112" s="131"/>
      <c r="L112" s="131"/>
      <c r="M112" s="131"/>
      <c r="N112" s="131"/>
      <c r="O112" s="131"/>
      <c r="P112" s="131"/>
      <c r="Q112" s="131"/>
      <c r="R112" s="131"/>
      <c r="S112" s="131"/>
      <c r="T112" s="131"/>
      <c r="U112" s="131"/>
      <c r="V112" s="131"/>
      <c r="W112" s="131"/>
      <c r="X112" s="131"/>
      <c r="Y112" s="131"/>
      <c r="Z112" s="131"/>
      <c r="AA112" s="131"/>
      <c r="AB112" s="131"/>
      <c r="AC112" s="131"/>
      <c r="AD112" s="131"/>
      <c r="AE112" s="131"/>
      <c r="AF112" s="131"/>
      <c r="AG112" s="131"/>
      <c r="AH112" s="131"/>
      <c r="AI112" s="131"/>
      <c r="AJ112" s="131"/>
      <c r="AK112" s="131"/>
      <c r="AL112" s="131"/>
      <c r="AM112" s="131"/>
      <c r="AN112" s="131"/>
      <c r="AO112" s="131"/>
    </row>
    <row r="113" spans="1:41" x14ac:dyDescent="0.15">
      <c r="A113" s="131"/>
      <c r="B113" s="131"/>
      <c r="C113" s="131"/>
      <c r="D113" s="131"/>
      <c r="E113" s="131"/>
      <c r="F113" s="131"/>
      <c r="G113" s="131"/>
      <c r="H113" s="131"/>
      <c r="I113" s="131"/>
      <c r="J113" s="131"/>
      <c r="K113" s="131"/>
      <c r="L113" s="131"/>
      <c r="M113" s="131"/>
      <c r="N113" s="131"/>
      <c r="O113" s="131"/>
      <c r="P113" s="131"/>
      <c r="Q113" s="131"/>
      <c r="R113" s="131"/>
      <c r="S113" s="131"/>
      <c r="T113" s="131"/>
      <c r="U113" s="131"/>
      <c r="V113" s="131"/>
      <c r="W113" s="131"/>
      <c r="X113" s="131"/>
      <c r="Y113" s="131"/>
      <c r="Z113" s="131"/>
      <c r="AA113" s="131"/>
      <c r="AB113" s="131"/>
      <c r="AC113" s="131"/>
      <c r="AD113" s="131"/>
      <c r="AE113" s="131"/>
      <c r="AF113" s="131"/>
      <c r="AG113" s="131"/>
      <c r="AH113" s="131"/>
      <c r="AI113" s="131"/>
      <c r="AJ113" s="131"/>
      <c r="AK113" s="131"/>
      <c r="AL113" s="131"/>
      <c r="AM113" s="131"/>
      <c r="AN113" s="131"/>
      <c r="AO113" s="131"/>
    </row>
    <row r="114" spans="1:41" x14ac:dyDescent="0.15">
      <c r="A114" s="131"/>
      <c r="B114" s="131"/>
      <c r="C114" s="131"/>
      <c r="D114" s="131"/>
      <c r="E114" s="131"/>
      <c r="F114" s="131"/>
      <c r="G114" s="131"/>
      <c r="H114" s="131"/>
      <c r="I114" s="131"/>
      <c r="J114" s="131"/>
      <c r="K114" s="131"/>
      <c r="L114" s="131"/>
      <c r="M114" s="131"/>
      <c r="N114" s="131"/>
      <c r="O114" s="131"/>
      <c r="P114" s="131"/>
      <c r="Q114" s="131"/>
      <c r="R114" s="131"/>
      <c r="S114" s="131"/>
      <c r="T114" s="131"/>
      <c r="U114" s="131"/>
      <c r="V114" s="131"/>
      <c r="W114" s="131"/>
      <c r="X114" s="131"/>
      <c r="Y114" s="131"/>
      <c r="Z114" s="131"/>
      <c r="AA114" s="131"/>
      <c r="AB114" s="131"/>
      <c r="AC114" s="131"/>
      <c r="AD114" s="131"/>
      <c r="AE114" s="131"/>
      <c r="AF114" s="131"/>
      <c r="AG114" s="131"/>
      <c r="AH114" s="131"/>
      <c r="AI114" s="131"/>
      <c r="AJ114" s="131"/>
      <c r="AK114" s="131"/>
      <c r="AL114" s="131"/>
      <c r="AM114" s="131"/>
      <c r="AN114" s="131"/>
      <c r="AO114" s="131"/>
    </row>
    <row r="115" spans="1:41" x14ac:dyDescent="0.15">
      <c r="A115" s="131"/>
      <c r="B115" s="131"/>
      <c r="C115" s="131"/>
      <c r="D115" s="131"/>
      <c r="E115" s="131"/>
      <c r="F115" s="131"/>
      <c r="G115" s="131"/>
      <c r="H115" s="131"/>
      <c r="I115" s="131"/>
      <c r="J115" s="131"/>
      <c r="K115" s="131"/>
      <c r="L115" s="131"/>
      <c r="M115" s="131"/>
      <c r="N115" s="131"/>
      <c r="O115" s="131"/>
      <c r="P115" s="131"/>
      <c r="Q115" s="131"/>
      <c r="R115" s="131"/>
      <c r="S115" s="131"/>
      <c r="T115" s="131"/>
      <c r="U115" s="131"/>
      <c r="V115" s="131"/>
      <c r="W115" s="131"/>
      <c r="X115" s="131"/>
      <c r="Y115" s="131"/>
      <c r="Z115" s="131"/>
      <c r="AA115" s="131"/>
      <c r="AB115" s="131"/>
      <c r="AC115" s="131"/>
      <c r="AD115" s="131"/>
      <c r="AE115" s="131"/>
      <c r="AF115" s="131"/>
      <c r="AG115" s="131"/>
      <c r="AH115" s="131"/>
      <c r="AI115" s="131"/>
      <c r="AJ115" s="131"/>
      <c r="AK115" s="131"/>
      <c r="AL115" s="131"/>
      <c r="AM115" s="131"/>
      <c r="AN115" s="131"/>
      <c r="AO115" s="131"/>
    </row>
    <row r="116" spans="1:41" x14ac:dyDescent="0.15">
      <c r="A116" s="131"/>
      <c r="B116" s="131"/>
      <c r="C116" s="131"/>
      <c r="D116" s="131"/>
      <c r="E116" s="131"/>
      <c r="F116" s="131"/>
      <c r="G116" s="131"/>
      <c r="H116" s="131"/>
      <c r="I116" s="131"/>
      <c r="J116" s="131"/>
      <c r="K116" s="131"/>
      <c r="L116" s="131"/>
      <c r="M116" s="131"/>
      <c r="N116" s="131"/>
      <c r="O116" s="131"/>
      <c r="P116" s="131"/>
      <c r="Q116" s="131"/>
      <c r="R116" s="131"/>
      <c r="S116" s="131"/>
      <c r="T116" s="131"/>
      <c r="U116" s="131"/>
      <c r="V116" s="131"/>
      <c r="W116" s="131"/>
      <c r="X116" s="131"/>
      <c r="Y116" s="131"/>
      <c r="Z116" s="131"/>
      <c r="AA116" s="131"/>
      <c r="AB116" s="131"/>
      <c r="AC116" s="131"/>
      <c r="AD116" s="131"/>
      <c r="AE116" s="131"/>
      <c r="AF116" s="131"/>
      <c r="AG116" s="131"/>
      <c r="AH116" s="131"/>
      <c r="AI116" s="131"/>
      <c r="AJ116" s="131"/>
      <c r="AK116" s="131"/>
      <c r="AL116" s="131"/>
      <c r="AM116" s="131"/>
      <c r="AN116" s="131"/>
      <c r="AO116" s="131"/>
    </row>
    <row r="117" spans="1:41" x14ac:dyDescent="0.15">
      <c r="A117" s="131"/>
      <c r="B117" s="131"/>
      <c r="C117" s="131"/>
      <c r="D117" s="131"/>
      <c r="E117" s="131"/>
      <c r="F117" s="131"/>
      <c r="G117" s="131"/>
      <c r="H117" s="131"/>
      <c r="I117" s="131"/>
      <c r="J117" s="131"/>
      <c r="K117" s="131"/>
      <c r="L117" s="131"/>
      <c r="M117" s="131"/>
      <c r="N117" s="131"/>
      <c r="O117" s="131"/>
      <c r="P117" s="131"/>
      <c r="Q117" s="131"/>
      <c r="R117" s="131"/>
      <c r="S117" s="131"/>
      <c r="T117" s="131"/>
      <c r="U117" s="131"/>
      <c r="V117" s="131"/>
      <c r="W117" s="131"/>
      <c r="X117" s="131"/>
      <c r="Y117" s="131"/>
      <c r="Z117" s="131"/>
      <c r="AA117" s="131"/>
      <c r="AB117" s="131"/>
      <c r="AC117" s="131"/>
      <c r="AD117" s="131"/>
      <c r="AE117" s="131"/>
      <c r="AF117" s="131"/>
      <c r="AG117" s="131"/>
      <c r="AH117" s="131"/>
      <c r="AI117" s="131"/>
      <c r="AJ117" s="131"/>
      <c r="AK117" s="131"/>
      <c r="AL117" s="131"/>
      <c r="AM117" s="131"/>
      <c r="AN117" s="131"/>
      <c r="AO117" s="131"/>
    </row>
    <row r="118" spans="1:41" x14ac:dyDescent="0.15">
      <c r="A118" s="131"/>
      <c r="B118" s="131"/>
      <c r="C118" s="131"/>
      <c r="D118" s="131"/>
      <c r="E118" s="131"/>
      <c r="F118" s="131"/>
      <c r="G118" s="131"/>
      <c r="H118" s="131"/>
      <c r="I118" s="131"/>
      <c r="J118" s="131"/>
      <c r="K118" s="131"/>
      <c r="L118" s="131"/>
      <c r="M118" s="131"/>
      <c r="N118" s="131"/>
      <c r="O118" s="131"/>
      <c r="P118" s="131"/>
      <c r="Q118" s="131"/>
      <c r="R118" s="131"/>
      <c r="S118" s="131"/>
      <c r="T118" s="131"/>
      <c r="U118" s="131"/>
      <c r="V118" s="131"/>
      <c r="W118" s="131"/>
      <c r="X118" s="131"/>
      <c r="Y118" s="131"/>
      <c r="Z118" s="131"/>
      <c r="AA118" s="131"/>
      <c r="AB118" s="131"/>
      <c r="AC118" s="131"/>
      <c r="AD118" s="131"/>
      <c r="AE118" s="131"/>
      <c r="AF118" s="131"/>
      <c r="AG118" s="131"/>
      <c r="AH118" s="131"/>
      <c r="AI118" s="131"/>
      <c r="AJ118" s="131"/>
      <c r="AK118" s="131"/>
      <c r="AL118" s="131"/>
      <c r="AM118" s="131"/>
      <c r="AN118" s="131"/>
      <c r="AO118" s="131"/>
    </row>
    <row r="119" spans="1:41" x14ac:dyDescent="0.15">
      <c r="A119" s="131"/>
      <c r="B119" s="131"/>
      <c r="C119" s="131"/>
      <c r="D119" s="131"/>
      <c r="E119" s="131"/>
      <c r="F119" s="131"/>
      <c r="G119" s="131"/>
      <c r="H119" s="131"/>
      <c r="I119" s="131"/>
      <c r="J119" s="131"/>
      <c r="K119" s="131"/>
      <c r="L119" s="131"/>
      <c r="M119" s="131"/>
      <c r="N119" s="131"/>
      <c r="O119" s="131"/>
      <c r="P119" s="131"/>
      <c r="Q119" s="131"/>
      <c r="R119" s="131"/>
      <c r="S119" s="131"/>
      <c r="T119" s="131"/>
      <c r="U119" s="131"/>
      <c r="V119" s="131"/>
      <c r="W119" s="131"/>
      <c r="X119" s="131"/>
      <c r="Y119" s="131"/>
      <c r="Z119" s="131"/>
      <c r="AA119" s="131"/>
      <c r="AB119" s="131"/>
      <c r="AC119" s="131"/>
      <c r="AD119" s="131"/>
      <c r="AE119" s="131"/>
      <c r="AF119" s="131"/>
      <c r="AG119" s="131"/>
      <c r="AH119" s="131"/>
      <c r="AI119" s="131"/>
      <c r="AJ119" s="131"/>
      <c r="AK119" s="131"/>
      <c r="AL119" s="131"/>
      <c r="AM119" s="131"/>
      <c r="AN119" s="131"/>
      <c r="AO119" s="131"/>
    </row>
    <row r="120" spans="1:41" x14ac:dyDescent="0.15">
      <c r="A120" s="131"/>
      <c r="B120" s="131"/>
      <c r="C120" s="131"/>
      <c r="D120" s="131"/>
      <c r="E120" s="131"/>
      <c r="F120" s="131"/>
      <c r="G120" s="131"/>
      <c r="H120" s="131"/>
      <c r="I120" s="131"/>
      <c r="J120" s="131"/>
      <c r="K120" s="131"/>
      <c r="L120" s="131"/>
      <c r="M120" s="131"/>
      <c r="N120" s="131"/>
      <c r="O120" s="131"/>
      <c r="P120" s="131"/>
      <c r="Q120" s="131"/>
      <c r="R120" s="131"/>
      <c r="S120" s="131"/>
      <c r="T120" s="131"/>
      <c r="U120" s="131"/>
      <c r="V120" s="131"/>
      <c r="W120" s="131"/>
      <c r="X120" s="131"/>
      <c r="Y120" s="131"/>
      <c r="Z120" s="131"/>
      <c r="AA120" s="131"/>
      <c r="AB120" s="131"/>
      <c r="AC120" s="131"/>
      <c r="AD120" s="131"/>
      <c r="AE120" s="131"/>
      <c r="AF120" s="131"/>
      <c r="AG120" s="131"/>
      <c r="AH120" s="131"/>
      <c r="AI120" s="131"/>
      <c r="AJ120" s="131"/>
      <c r="AK120" s="131"/>
      <c r="AL120" s="131"/>
      <c r="AM120" s="131"/>
      <c r="AN120" s="131"/>
      <c r="AO120" s="131"/>
    </row>
    <row r="121" spans="1:41" x14ac:dyDescent="0.15">
      <c r="A121" s="131"/>
      <c r="B121" s="131"/>
      <c r="C121" s="131"/>
      <c r="D121" s="131"/>
      <c r="E121" s="131"/>
      <c r="F121" s="131"/>
      <c r="G121" s="131"/>
      <c r="H121" s="131"/>
      <c r="I121" s="131"/>
      <c r="J121" s="131"/>
      <c r="K121" s="131"/>
      <c r="L121" s="131"/>
      <c r="M121" s="131"/>
      <c r="N121" s="131"/>
      <c r="O121" s="131"/>
      <c r="P121" s="131"/>
      <c r="Q121" s="131"/>
      <c r="R121" s="131"/>
      <c r="S121" s="131"/>
      <c r="T121" s="131"/>
      <c r="U121" s="131"/>
      <c r="V121" s="131"/>
      <c r="W121" s="131"/>
      <c r="X121" s="131"/>
      <c r="Y121" s="131"/>
      <c r="Z121" s="131"/>
      <c r="AA121" s="131"/>
      <c r="AB121" s="131"/>
      <c r="AC121" s="131"/>
      <c r="AD121" s="131"/>
      <c r="AE121" s="131"/>
      <c r="AF121" s="131"/>
      <c r="AG121" s="131"/>
      <c r="AH121" s="131"/>
      <c r="AI121" s="131"/>
      <c r="AJ121" s="131"/>
      <c r="AK121" s="131"/>
      <c r="AL121" s="131"/>
      <c r="AM121" s="131"/>
      <c r="AN121" s="131"/>
      <c r="AO121" s="131"/>
    </row>
    <row r="122" spans="1:41" x14ac:dyDescent="0.15">
      <c r="A122" s="131"/>
      <c r="B122" s="131"/>
      <c r="C122" s="131"/>
      <c r="D122" s="131"/>
      <c r="E122" s="131"/>
      <c r="F122" s="131"/>
      <c r="G122" s="131"/>
      <c r="H122" s="131"/>
      <c r="I122" s="131"/>
      <c r="J122" s="131"/>
      <c r="K122" s="131"/>
      <c r="L122" s="131"/>
      <c r="M122" s="131"/>
      <c r="N122" s="131"/>
      <c r="O122" s="131"/>
      <c r="P122" s="131"/>
      <c r="Q122" s="131"/>
      <c r="R122" s="131"/>
      <c r="S122" s="131"/>
      <c r="T122" s="131"/>
      <c r="U122" s="131"/>
      <c r="V122" s="131"/>
      <c r="W122" s="131"/>
      <c r="X122" s="131"/>
      <c r="Y122" s="131"/>
      <c r="Z122" s="131"/>
      <c r="AA122" s="131"/>
      <c r="AB122" s="131"/>
      <c r="AC122" s="131"/>
      <c r="AD122" s="131"/>
      <c r="AE122" s="131"/>
      <c r="AF122" s="131"/>
      <c r="AG122" s="131"/>
      <c r="AH122" s="131"/>
      <c r="AI122" s="131"/>
      <c r="AJ122" s="131"/>
      <c r="AK122" s="131"/>
      <c r="AL122" s="131"/>
      <c r="AM122" s="131"/>
      <c r="AN122" s="131"/>
      <c r="AO122" s="131"/>
    </row>
    <row r="123" spans="1:41" x14ac:dyDescent="0.15">
      <c r="A123" s="131"/>
      <c r="B123" s="131"/>
      <c r="C123" s="131"/>
      <c r="D123" s="131"/>
      <c r="E123" s="131"/>
      <c r="F123" s="131"/>
      <c r="G123" s="131"/>
      <c r="H123" s="131"/>
      <c r="I123" s="131"/>
      <c r="J123" s="131"/>
      <c r="K123" s="131"/>
      <c r="L123" s="131"/>
      <c r="M123" s="131"/>
      <c r="N123" s="131"/>
      <c r="O123" s="131"/>
      <c r="P123" s="131"/>
      <c r="Q123" s="131"/>
      <c r="R123" s="131"/>
      <c r="S123" s="131"/>
      <c r="T123" s="131"/>
      <c r="U123" s="131"/>
      <c r="V123" s="131"/>
      <c r="W123" s="131"/>
      <c r="X123" s="131"/>
      <c r="Y123" s="131"/>
      <c r="Z123" s="131"/>
      <c r="AA123" s="131"/>
      <c r="AB123" s="131"/>
      <c r="AC123" s="131"/>
      <c r="AD123" s="131"/>
      <c r="AE123" s="131"/>
      <c r="AF123" s="131"/>
      <c r="AG123" s="131"/>
      <c r="AH123" s="131"/>
      <c r="AI123" s="131"/>
      <c r="AJ123" s="131"/>
      <c r="AK123" s="131"/>
      <c r="AL123" s="131"/>
      <c r="AM123" s="131"/>
      <c r="AN123" s="131"/>
      <c r="AO123" s="131"/>
    </row>
    <row r="124" spans="1:41" x14ac:dyDescent="0.15">
      <c r="A124" s="131"/>
      <c r="B124" s="131"/>
      <c r="C124" s="131"/>
      <c r="D124" s="131"/>
      <c r="E124" s="131"/>
      <c r="F124" s="131"/>
      <c r="G124" s="131"/>
      <c r="H124" s="131"/>
      <c r="I124" s="131"/>
      <c r="J124" s="131"/>
      <c r="K124" s="131"/>
      <c r="L124" s="131"/>
      <c r="M124" s="131"/>
      <c r="N124" s="131"/>
      <c r="O124" s="131"/>
      <c r="P124" s="131"/>
      <c r="Q124" s="131"/>
      <c r="R124" s="131"/>
      <c r="S124" s="131"/>
      <c r="T124" s="131"/>
      <c r="U124" s="131"/>
      <c r="V124" s="131"/>
      <c r="W124" s="131"/>
      <c r="X124" s="131"/>
      <c r="Y124" s="131"/>
      <c r="Z124" s="131"/>
      <c r="AA124" s="131"/>
      <c r="AB124" s="131"/>
      <c r="AC124" s="131"/>
      <c r="AD124" s="131"/>
      <c r="AE124" s="131"/>
      <c r="AF124" s="131"/>
      <c r="AG124" s="131"/>
      <c r="AH124" s="131"/>
      <c r="AI124" s="131"/>
      <c r="AJ124" s="131"/>
      <c r="AK124" s="131"/>
      <c r="AL124" s="131"/>
      <c r="AM124" s="131"/>
      <c r="AN124" s="131"/>
      <c r="AO124" s="131"/>
    </row>
  </sheetData>
  <mergeCells count="124">
    <mergeCell ref="A1:AO1"/>
    <mergeCell ref="A2:AO2"/>
    <mergeCell ref="A3:AO3"/>
    <mergeCell ref="A4:AO4"/>
    <mergeCell ref="A15:AO15"/>
    <mergeCell ref="A29:AO29"/>
    <mergeCell ref="A57:AO57"/>
    <mergeCell ref="A42:AO42"/>
    <mergeCell ref="A43:AO43"/>
    <mergeCell ref="A52:AO52"/>
    <mergeCell ref="A53:AO53"/>
    <mergeCell ref="A54:AO54"/>
    <mergeCell ref="A55:AO55"/>
    <mergeCell ref="A30:AO30"/>
    <mergeCell ref="A31:AO31"/>
    <mergeCell ref="A38:AO38"/>
    <mergeCell ref="A39:AO39"/>
    <mergeCell ref="A40:AO40"/>
    <mergeCell ref="A41:AO41"/>
    <mergeCell ref="A51:AO51"/>
    <mergeCell ref="A46:AO46"/>
    <mergeCell ref="A47:AO47"/>
    <mergeCell ref="A48:AO48"/>
    <mergeCell ref="A32:AO32"/>
    <mergeCell ref="A33:AO33"/>
    <mergeCell ref="A34:AO34"/>
    <mergeCell ref="A103:AO103"/>
    <mergeCell ref="A104:AO104"/>
    <mergeCell ref="A44:AO44"/>
    <mergeCell ref="A45:AO45"/>
    <mergeCell ref="A97:AO97"/>
    <mergeCell ref="A98:AO98"/>
    <mergeCell ref="A99:AO99"/>
    <mergeCell ref="A100:AO100"/>
    <mergeCell ref="A101:AO101"/>
    <mergeCell ref="A102:AO102"/>
    <mergeCell ref="A91:AO91"/>
    <mergeCell ref="A92:AO92"/>
    <mergeCell ref="A93:AO93"/>
    <mergeCell ref="A94:AO94"/>
    <mergeCell ref="A95:AO95"/>
    <mergeCell ref="A96:AO96"/>
    <mergeCell ref="A56:AO56"/>
    <mergeCell ref="A5:AO5"/>
    <mergeCell ref="A6:AO6"/>
    <mergeCell ref="A7:AO7"/>
    <mergeCell ref="A8:AO8"/>
    <mergeCell ref="A112:AO112"/>
    <mergeCell ref="A113:AO113"/>
    <mergeCell ref="A114:AO114"/>
    <mergeCell ref="A115:AO115"/>
    <mergeCell ref="A116:AO116"/>
    <mergeCell ref="A28:AO28"/>
    <mergeCell ref="A107:AO107"/>
    <mergeCell ref="A108:AO108"/>
    <mergeCell ref="A109:AO109"/>
    <mergeCell ref="A110:AO110"/>
    <mergeCell ref="A111:AO111"/>
    <mergeCell ref="A22:AO22"/>
    <mergeCell ref="A23:AO23"/>
    <mergeCell ref="A24:AO24"/>
    <mergeCell ref="A25:AO25"/>
    <mergeCell ref="A26:AO26"/>
    <mergeCell ref="A27:AO27"/>
    <mergeCell ref="A16:AO16"/>
    <mergeCell ref="A17:AO17"/>
    <mergeCell ref="A18:AO18"/>
    <mergeCell ref="A123:AO123"/>
    <mergeCell ref="A124:AO124"/>
    <mergeCell ref="A77:AO77"/>
    <mergeCell ref="A78:AO78"/>
    <mergeCell ref="A79:AO79"/>
    <mergeCell ref="A80:AO80"/>
    <mergeCell ref="A81:AO81"/>
    <mergeCell ref="A9:AO9"/>
    <mergeCell ref="A10:AO10"/>
    <mergeCell ref="A11:AO11"/>
    <mergeCell ref="A12:AO12"/>
    <mergeCell ref="A13:AO13"/>
    <mergeCell ref="A14:AO14"/>
    <mergeCell ref="A118:AO118"/>
    <mergeCell ref="A119:AO119"/>
    <mergeCell ref="A117:AO117"/>
    <mergeCell ref="A19:AO19"/>
    <mergeCell ref="A20:AO20"/>
    <mergeCell ref="A21:AO21"/>
    <mergeCell ref="A35:AO35"/>
    <mergeCell ref="A36:AO36"/>
    <mergeCell ref="A37:AO37"/>
    <mergeCell ref="A49:AO49"/>
    <mergeCell ref="A50:AO50"/>
    <mergeCell ref="A58:AO58"/>
    <mergeCell ref="A59:AO59"/>
    <mergeCell ref="A60:AO60"/>
    <mergeCell ref="A61:AO61"/>
    <mergeCell ref="A62:AO62"/>
    <mergeCell ref="A85:AO85"/>
    <mergeCell ref="A120:AO120"/>
    <mergeCell ref="A121:AO121"/>
    <mergeCell ref="A122:AO122"/>
    <mergeCell ref="A105:AO105"/>
    <mergeCell ref="A106:AO106"/>
    <mergeCell ref="A63:AO63"/>
    <mergeCell ref="A64:AO64"/>
    <mergeCell ref="A75:AO75"/>
    <mergeCell ref="A76:AO76"/>
    <mergeCell ref="A90:AO90"/>
    <mergeCell ref="A82:AO82"/>
    <mergeCell ref="A83:AO83"/>
    <mergeCell ref="A84:AO84"/>
    <mergeCell ref="A71:AO71"/>
    <mergeCell ref="A72:AO72"/>
    <mergeCell ref="A73:AO73"/>
    <mergeCell ref="A74:AO74"/>
    <mergeCell ref="A86:AO86"/>
    <mergeCell ref="A87:AO87"/>
    <mergeCell ref="A88:AO88"/>
    <mergeCell ref="A89:AO89"/>
    <mergeCell ref="A65:AO65"/>
    <mergeCell ref="A66:AO66"/>
    <mergeCell ref="A67:AO67"/>
    <mergeCell ref="A68:AO68"/>
    <mergeCell ref="A69:AO69"/>
    <mergeCell ref="A70:AO70"/>
  </mergeCells>
  <phoneticPr fontId="41" type="noConversion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B1:L96"/>
  <sheetViews>
    <sheetView zoomScale="75" zoomScaleNormal="75" workbookViewId="0">
      <pane ySplit="1" topLeftCell="A2" activePane="bottomLeft" state="frozen"/>
      <selection pane="bottomLeft" activeCell="H22" sqref="H22"/>
    </sheetView>
  </sheetViews>
  <sheetFormatPr defaultRowHeight="13.5" x14ac:dyDescent="0.15"/>
  <cols>
    <col min="1" max="1" width="3.75" customWidth="1"/>
    <col min="2" max="2" width="5" style="40" customWidth="1"/>
    <col min="3" max="3" width="23" customWidth="1"/>
    <col min="4" max="4" width="8.5" customWidth="1"/>
    <col min="5" max="5" width="7" style="40" customWidth="1"/>
    <col min="6" max="6" width="6.625" style="40" customWidth="1"/>
    <col min="7" max="7" width="12.625" style="91" customWidth="1"/>
    <col min="8" max="8" width="12.875" style="91" customWidth="1"/>
    <col min="9" max="10" width="6.625" style="40" customWidth="1"/>
    <col min="11" max="11" width="22.875" style="40" customWidth="1"/>
    <col min="12" max="12" width="41.875" customWidth="1"/>
  </cols>
  <sheetData>
    <row r="1" spans="2:12" x14ac:dyDescent="0.15">
      <c r="B1" s="36" t="s">
        <v>283</v>
      </c>
      <c r="C1" s="36" t="s">
        <v>280</v>
      </c>
      <c r="D1" s="36" t="s">
        <v>281</v>
      </c>
      <c r="E1" s="36" t="s">
        <v>335</v>
      </c>
      <c r="F1" s="36" t="s">
        <v>336</v>
      </c>
      <c r="G1" s="129" t="s">
        <v>515</v>
      </c>
      <c r="H1" s="90" t="s">
        <v>431</v>
      </c>
      <c r="I1" s="36" t="s">
        <v>338</v>
      </c>
      <c r="J1" s="36" t="s">
        <v>337</v>
      </c>
      <c r="K1" s="36" t="s">
        <v>331</v>
      </c>
      <c r="L1" s="36" t="s">
        <v>290</v>
      </c>
    </row>
    <row r="2" spans="2:12" s="40" customFormat="1" ht="40.5" x14ac:dyDescent="0.15">
      <c r="B2" s="50">
        <v>1</v>
      </c>
      <c r="C2" s="57" t="s">
        <v>375</v>
      </c>
      <c r="D2" s="50"/>
      <c r="E2" s="50">
        <f>SUM(E3:E42)</f>
        <v>62</v>
      </c>
      <c r="F2" s="50"/>
      <c r="G2" s="89"/>
      <c r="H2" s="89"/>
      <c r="I2" s="50"/>
      <c r="J2" s="50"/>
      <c r="K2" s="51" t="s">
        <v>314</v>
      </c>
      <c r="L2" s="50">
        <v>64</v>
      </c>
    </row>
    <row r="3" spans="2:12" s="40" customFormat="1" x14ac:dyDescent="0.15">
      <c r="B3" s="50"/>
      <c r="C3" s="62" t="s">
        <v>376</v>
      </c>
      <c r="D3" s="50"/>
      <c r="E3" s="50"/>
      <c r="F3" s="50"/>
      <c r="G3" s="89"/>
      <c r="H3" s="89"/>
      <c r="I3" s="50"/>
      <c r="J3" s="50"/>
      <c r="K3" s="51"/>
      <c r="L3" s="50"/>
    </row>
    <row r="4" spans="2:12" s="40" customFormat="1" x14ac:dyDescent="0.15">
      <c r="C4" s="45" t="s">
        <v>299</v>
      </c>
      <c r="D4" s="40" t="s">
        <v>286</v>
      </c>
      <c r="E4" s="40">
        <v>1</v>
      </c>
      <c r="G4" s="91"/>
      <c r="H4" s="91">
        <v>40463</v>
      </c>
      <c r="K4" s="45"/>
      <c r="L4" s="45"/>
    </row>
    <row r="5" spans="2:12" s="40" customFormat="1" x14ac:dyDescent="0.15">
      <c r="C5" s="47" t="s">
        <v>298</v>
      </c>
      <c r="D5" s="40" t="s">
        <v>286</v>
      </c>
      <c r="E5" s="40">
        <v>1</v>
      </c>
      <c r="G5" s="91"/>
      <c r="H5" s="91">
        <v>40463</v>
      </c>
      <c r="K5" s="45"/>
      <c r="L5" s="45"/>
    </row>
    <row r="6" spans="2:12" s="40" customFormat="1" x14ac:dyDescent="0.15">
      <c r="C6" s="47" t="s">
        <v>772</v>
      </c>
      <c r="G6" s="91"/>
      <c r="H6" s="91"/>
      <c r="K6" s="45"/>
      <c r="L6" s="130" t="s">
        <v>773</v>
      </c>
    </row>
    <row r="7" spans="2:12" s="40" customFormat="1" x14ac:dyDescent="0.15">
      <c r="C7" s="47" t="s">
        <v>339</v>
      </c>
      <c r="D7" s="40" t="s">
        <v>286</v>
      </c>
      <c r="E7" s="40">
        <v>0.5</v>
      </c>
      <c r="G7" s="91"/>
      <c r="H7" s="91">
        <v>40471</v>
      </c>
      <c r="K7" s="45"/>
      <c r="L7" s="45"/>
    </row>
    <row r="8" spans="2:12" s="40" customFormat="1" x14ac:dyDescent="0.15">
      <c r="C8" s="47" t="s">
        <v>300</v>
      </c>
      <c r="D8" s="40" t="s">
        <v>287</v>
      </c>
      <c r="E8" s="40">
        <v>1</v>
      </c>
      <c r="G8" s="91"/>
      <c r="H8" s="91"/>
      <c r="K8" s="45"/>
      <c r="L8" s="49"/>
    </row>
    <row r="9" spans="2:12" s="40" customFormat="1" x14ac:dyDescent="0.15">
      <c r="C9" s="47" t="s">
        <v>340</v>
      </c>
      <c r="D9" s="40" t="s">
        <v>286</v>
      </c>
      <c r="G9" s="91"/>
      <c r="H9" s="91">
        <v>40472</v>
      </c>
      <c r="K9" s="45"/>
      <c r="L9" s="49"/>
    </row>
    <row r="10" spans="2:12" s="40" customFormat="1" x14ac:dyDescent="0.15">
      <c r="C10" s="47" t="s">
        <v>341</v>
      </c>
      <c r="D10" s="40" t="s">
        <v>286</v>
      </c>
      <c r="E10" s="40">
        <v>0.5</v>
      </c>
      <c r="G10" s="91"/>
      <c r="H10" s="91"/>
      <c r="K10" s="45"/>
      <c r="L10" s="49"/>
    </row>
    <row r="11" spans="2:12" s="40" customFormat="1" x14ac:dyDescent="0.15">
      <c r="C11" s="47" t="s">
        <v>342</v>
      </c>
      <c r="D11" s="40" t="s">
        <v>286</v>
      </c>
      <c r="E11" s="40">
        <v>0.5</v>
      </c>
      <c r="G11" s="91"/>
      <c r="H11" s="91"/>
      <c r="K11" s="45"/>
      <c r="L11" s="49"/>
    </row>
    <row r="12" spans="2:12" s="40" customFormat="1" x14ac:dyDescent="0.15">
      <c r="C12" s="47" t="s">
        <v>343</v>
      </c>
      <c r="D12" s="40" t="s">
        <v>286</v>
      </c>
      <c r="E12" s="40">
        <v>0.5</v>
      </c>
      <c r="G12" s="91"/>
      <c r="H12" s="91"/>
      <c r="K12" s="45"/>
      <c r="L12" s="49"/>
    </row>
    <row r="13" spans="2:12" s="40" customFormat="1" x14ac:dyDescent="0.15">
      <c r="C13" s="47" t="s">
        <v>344</v>
      </c>
      <c r="D13" s="40" t="s">
        <v>286</v>
      </c>
      <c r="E13" s="40">
        <v>1</v>
      </c>
      <c r="G13" s="91"/>
      <c r="H13" s="91"/>
      <c r="K13" s="45"/>
      <c r="L13" s="49"/>
    </row>
    <row r="14" spans="2:12" s="40" customFormat="1" ht="207" customHeight="1" x14ac:dyDescent="0.15">
      <c r="C14" s="47" t="s">
        <v>291</v>
      </c>
      <c r="D14" s="40" t="s">
        <v>286</v>
      </c>
      <c r="E14" s="40">
        <v>2</v>
      </c>
      <c r="G14" s="91"/>
      <c r="H14" s="91"/>
      <c r="K14" s="45"/>
      <c r="L14" s="49" t="s">
        <v>345</v>
      </c>
    </row>
    <row r="15" spans="2:12" s="40" customFormat="1" x14ac:dyDescent="0.15">
      <c r="C15" s="47" t="s">
        <v>346</v>
      </c>
      <c r="D15" s="40" t="s">
        <v>286</v>
      </c>
      <c r="E15" s="40">
        <v>0.5</v>
      </c>
      <c r="G15" s="91"/>
      <c r="H15" s="91">
        <v>40473</v>
      </c>
      <c r="K15" s="45"/>
      <c r="L15" s="49"/>
    </row>
    <row r="16" spans="2:12" s="40" customFormat="1" x14ac:dyDescent="0.15">
      <c r="C16" s="47" t="s">
        <v>347</v>
      </c>
      <c r="D16" s="40" t="s">
        <v>286</v>
      </c>
      <c r="E16" s="40">
        <v>0.5</v>
      </c>
      <c r="G16" s="91"/>
      <c r="H16" s="91"/>
      <c r="K16" s="45"/>
      <c r="L16" s="49"/>
    </row>
    <row r="17" spans="3:12" s="40" customFormat="1" x14ac:dyDescent="0.15">
      <c r="C17" s="47" t="s">
        <v>348</v>
      </c>
      <c r="D17" s="40" t="s">
        <v>292</v>
      </c>
      <c r="E17" s="40">
        <v>4</v>
      </c>
      <c r="G17" s="91"/>
      <c r="H17" s="91"/>
      <c r="K17" s="45"/>
      <c r="L17" s="49"/>
    </row>
    <row r="18" spans="3:12" s="40" customFormat="1" x14ac:dyDescent="0.15">
      <c r="C18" s="47" t="s">
        <v>349</v>
      </c>
      <c r="D18" s="40" t="s">
        <v>292</v>
      </c>
      <c r="E18" s="40">
        <v>2</v>
      </c>
      <c r="G18" s="91"/>
      <c r="H18" s="91"/>
      <c r="K18" s="45"/>
      <c r="L18" s="49"/>
    </row>
    <row r="19" spans="3:12" s="40" customFormat="1" x14ac:dyDescent="0.15">
      <c r="C19" s="47" t="s">
        <v>294</v>
      </c>
      <c r="D19" s="40" t="s">
        <v>286</v>
      </c>
      <c r="E19" s="40">
        <v>1</v>
      </c>
      <c r="G19" s="91"/>
      <c r="H19" s="91"/>
      <c r="K19" s="45"/>
      <c r="L19" s="47" t="s">
        <v>329</v>
      </c>
    </row>
    <row r="20" spans="3:12" s="40" customFormat="1" x14ac:dyDescent="0.15">
      <c r="C20" s="47" t="s">
        <v>295</v>
      </c>
      <c r="D20" s="40" t="s">
        <v>287</v>
      </c>
      <c r="E20" s="40">
        <v>4</v>
      </c>
      <c r="G20" s="91"/>
      <c r="H20" s="91"/>
      <c r="K20" s="45"/>
      <c r="L20" s="47" t="s">
        <v>330</v>
      </c>
    </row>
    <row r="21" spans="3:12" s="40" customFormat="1" x14ac:dyDescent="0.15">
      <c r="C21" s="47" t="s">
        <v>296</v>
      </c>
      <c r="D21" s="40" t="s">
        <v>287</v>
      </c>
      <c r="E21" s="40">
        <v>2</v>
      </c>
      <c r="G21" s="91"/>
      <c r="H21" s="91"/>
      <c r="K21" s="45"/>
      <c r="L21" s="47" t="s">
        <v>330</v>
      </c>
    </row>
    <row r="22" spans="3:12" s="40" customFormat="1" x14ac:dyDescent="0.15">
      <c r="C22" s="47" t="s">
        <v>351</v>
      </c>
      <c r="D22" s="40" t="s">
        <v>286</v>
      </c>
      <c r="E22" s="40">
        <v>1</v>
      </c>
      <c r="G22" s="91"/>
      <c r="H22" s="91"/>
      <c r="K22" s="45"/>
      <c r="L22" s="49"/>
    </row>
    <row r="23" spans="3:12" s="40" customFormat="1" ht="94.5" x14ac:dyDescent="0.15">
      <c r="C23" s="47" t="s">
        <v>350</v>
      </c>
      <c r="D23" s="40" t="s">
        <v>297</v>
      </c>
      <c r="E23" s="40">
        <v>2</v>
      </c>
      <c r="G23" s="91"/>
      <c r="H23" s="91"/>
      <c r="K23" s="45"/>
      <c r="L23" s="49" t="s">
        <v>352</v>
      </c>
    </row>
    <row r="24" spans="3:12" s="40" customFormat="1" x14ac:dyDescent="0.15">
      <c r="C24" s="47"/>
      <c r="G24" s="91"/>
      <c r="H24" s="91"/>
      <c r="K24" s="45"/>
      <c r="L24" s="49"/>
    </row>
    <row r="25" spans="3:12" s="40" customFormat="1" x14ac:dyDescent="0.15">
      <c r="C25" s="47"/>
      <c r="G25" s="91"/>
      <c r="H25" s="91"/>
      <c r="K25" s="45"/>
      <c r="L25" s="49"/>
    </row>
    <row r="26" spans="3:12" s="40" customFormat="1" x14ac:dyDescent="0.15">
      <c r="C26" s="47"/>
      <c r="G26" s="91"/>
      <c r="H26" s="91"/>
      <c r="K26" s="45"/>
      <c r="L26" s="49"/>
    </row>
    <row r="27" spans="3:12" s="40" customFormat="1" x14ac:dyDescent="0.15">
      <c r="C27" s="47" t="s">
        <v>301</v>
      </c>
      <c r="D27" s="40" t="s">
        <v>286</v>
      </c>
      <c r="E27" s="40">
        <v>1</v>
      </c>
      <c r="G27" s="91"/>
      <c r="H27" s="91"/>
      <c r="K27" s="45"/>
      <c r="L27" s="49"/>
    </row>
    <row r="28" spans="3:12" s="40" customFormat="1" x14ac:dyDescent="0.15">
      <c r="C28" s="47" t="s">
        <v>302</v>
      </c>
      <c r="D28" s="40" t="s">
        <v>292</v>
      </c>
      <c r="E28" s="40">
        <v>4</v>
      </c>
      <c r="G28" s="91"/>
      <c r="H28" s="91"/>
      <c r="K28" s="45"/>
      <c r="L28" s="45"/>
    </row>
    <row r="29" spans="3:12" s="40" customFormat="1" x14ac:dyDescent="0.15">
      <c r="C29" s="47" t="s">
        <v>304</v>
      </c>
      <c r="D29" s="40" t="s">
        <v>287</v>
      </c>
      <c r="E29" s="40">
        <v>1</v>
      </c>
      <c r="G29" s="91"/>
      <c r="H29" s="91"/>
      <c r="K29" s="45"/>
      <c r="L29" s="49"/>
    </row>
    <row r="30" spans="3:12" s="40" customFormat="1" x14ac:dyDescent="0.15">
      <c r="C30" s="47" t="s">
        <v>303</v>
      </c>
      <c r="D30" s="40" t="s">
        <v>297</v>
      </c>
      <c r="E30" s="40">
        <v>4</v>
      </c>
      <c r="G30" s="91"/>
      <c r="H30" s="91"/>
      <c r="K30" s="45"/>
      <c r="L30" s="49"/>
    </row>
    <row r="31" spans="3:12" s="40" customFormat="1" x14ac:dyDescent="0.15">
      <c r="C31" s="47" t="s">
        <v>291</v>
      </c>
      <c r="D31" s="40" t="s">
        <v>287</v>
      </c>
      <c r="E31" s="40">
        <v>1</v>
      </c>
      <c r="G31" s="91"/>
      <c r="H31" s="91"/>
      <c r="K31" s="45"/>
      <c r="L31" s="47" t="s">
        <v>328</v>
      </c>
    </row>
    <row r="32" spans="3:12" s="40" customFormat="1" x14ac:dyDescent="0.15">
      <c r="C32" s="45" t="s">
        <v>305</v>
      </c>
      <c r="D32" s="40" t="s">
        <v>288</v>
      </c>
      <c r="E32" s="40">
        <v>1</v>
      </c>
      <c r="G32" s="91"/>
      <c r="H32" s="91"/>
      <c r="K32" s="45"/>
      <c r="L32" s="45"/>
    </row>
    <row r="33" spans="2:12" s="40" customFormat="1" x14ac:dyDescent="0.15">
      <c r="C33" s="47" t="s">
        <v>306</v>
      </c>
      <c r="D33" s="40" t="s">
        <v>292</v>
      </c>
      <c r="E33" s="40">
        <v>2</v>
      </c>
      <c r="G33" s="91"/>
      <c r="H33" s="91"/>
      <c r="K33" s="45"/>
      <c r="L33" s="45"/>
    </row>
    <row r="34" spans="2:12" s="40" customFormat="1" x14ac:dyDescent="0.15">
      <c r="C34" s="47" t="s">
        <v>307</v>
      </c>
      <c r="D34" s="40" t="s">
        <v>292</v>
      </c>
      <c r="E34" s="40">
        <v>2</v>
      </c>
      <c r="G34" s="91"/>
      <c r="H34" s="91"/>
      <c r="K34" s="45"/>
      <c r="L34" s="45"/>
    </row>
    <row r="35" spans="2:12" s="40" customFormat="1" x14ac:dyDescent="0.15">
      <c r="C35" s="47" t="s">
        <v>308</v>
      </c>
      <c r="D35" s="40" t="s">
        <v>286</v>
      </c>
      <c r="E35" s="40">
        <v>1</v>
      </c>
      <c r="G35" s="91"/>
      <c r="H35" s="91"/>
      <c r="K35" s="45"/>
      <c r="L35" s="45"/>
    </row>
    <row r="36" spans="2:12" s="40" customFormat="1" x14ac:dyDescent="0.15">
      <c r="C36" s="47" t="s">
        <v>327</v>
      </c>
      <c r="D36" s="40" t="s">
        <v>287</v>
      </c>
      <c r="E36" s="40">
        <v>8</v>
      </c>
      <c r="G36" s="91"/>
      <c r="H36" s="91"/>
      <c r="K36" s="45"/>
      <c r="L36" s="45"/>
    </row>
    <row r="37" spans="2:12" s="40" customFormat="1" x14ac:dyDescent="0.15">
      <c r="B37" s="50"/>
      <c r="C37" s="57" t="s">
        <v>377</v>
      </c>
      <c r="D37" s="50"/>
      <c r="E37" s="50"/>
      <c r="F37" s="50"/>
      <c r="G37" s="89">
        <v>40476</v>
      </c>
      <c r="H37" s="89"/>
      <c r="I37" s="50"/>
      <c r="J37" s="50"/>
      <c r="K37" s="51"/>
      <c r="L37" s="50">
        <v>12</v>
      </c>
    </row>
    <row r="38" spans="2:12" s="55" customFormat="1" x14ac:dyDescent="0.15">
      <c r="B38" s="52"/>
      <c r="C38" s="53" t="s">
        <v>309</v>
      </c>
      <c r="D38" s="40" t="s">
        <v>286</v>
      </c>
      <c r="E38" s="52">
        <v>1</v>
      </c>
      <c r="F38" s="52"/>
      <c r="G38" s="92"/>
      <c r="H38" s="92"/>
      <c r="I38" s="52"/>
      <c r="J38" s="52"/>
      <c r="K38" s="54"/>
      <c r="L38" s="52"/>
    </row>
    <row r="39" spans="2:12" s="55" customFormat="1" x14ac:dyDescent="0.15">
      <c r="B39" s="52"/>
      <c r="C39" s="53" t="s">
        <v>310</v>
      </c>
      <c r="D39" s="40" t="s">
        <v>286</v>
      </c>
      <c r="E39" s="52">
        <v>6</v>
      </c>
      <c r="F39" s="52"/>
      <c r="G39" s="92"/>
      <c r="H39" s="92"/>
      <c r="I39" s="52"/>
      <c r="J39" s="52"/>
      <c r="K39" s="54"/>
      <c r="L39" s="52"/>
    </row>
    <row r="40" spans="2:12" s="55" customFormat="1" x14ac:dyDescent="0.15">
      <c r="B40" s="52"/>
      <c r="C40" s="47" t="s">
        <v>289</v>
      </c>
      <c r="D40" s="40" t="s">
        <v>286</v>
      </c>
      <c r="E40" s="52">
        <v>1</v>
      </c>
      <c r="F40" s="52"/>
      <c r="G40" s="92"/>
      <c r="H40" s="92"/>
      <c r="I40" s="52"/>
      <c r="J40" s="52"/>
      <c r="K40" s="54"/>
      <c r="L40" s="52"/>
    </row>
    <row r="41" spans="2:12" s="55" customFormat="1" x14ac:dyDescent="0.15">
      <c r="B41" s="52"/>
      <c r="C41" s="53" t="s">
        <v>311</v>
      </c>
      <c r="D41" s="40" t="s">
        <v>287</v>
      </c>
      <c r="E41" s="52">
        <v>2</v>
      </c>
      <c r="F41" s="52"/>
      <c r="G41" s="92"/>
      <c r="H41" s="92"/>
      <c r="I41" s="52"/>
      <c r="J41" s="52"/>
      <c r="K41" s="54"/>
      <c r="L41" s="52"/>
    </row>
    <row r="42" spans="2:12" s="40" customFormat="1" x14ac:dyDescent="0.15">
      <c r="C42" s="47" t="s">
        <v>312</v>
      </c>
      <c r="D42" s="40" t="s">
        <v>287</v>
      </c>
      <c r="E42" s="40">
        <v>2</v>
      </c>
      <c r="G42" s="91"/>
      <c r="H42" s="91"/>
      <c r="K42" s="45"/>
      <c r="L42" s="45"/>
    </row>
    <row r="43" spans="2:12" s="38" customFormat="1" ht="40.5" x14ac:dyDescent="0.15">
      <c r="B43" s="56">
        <v>2</v>
      </c>
      <c r="C43" s="63" t="s">
        <v>378</v>
      </c>
      <c r="D43" s="56"/>
      <c r="E43" s="56">
        <f>SUM(E44:E70)</f>
        <v>55</v>
      </c>
      <c r="F43" s="56"/>
      <c r="G43" s="93">
        <v>40478</v>
      </c>
      <c r="H43" s="93"/>
      <c r="I43" s="56"/>
      <c r="J43" s="56"/>
      <c r="K43" s="51" t="s">
        <v>315</v>
      </c>
      <c r="L43" s="56">
        <v>80</v>
      </c>
    </row>
    <row r="44" spans="2:12" s="38" customFormat="1" x14ac:dyDescent="0.15">
      <c r="C44" s="64" t="s">
        <v>384</v>
      </c>
      <c r="D44" s="40"/>
      <c r="E44" s="37"/>
      <c r="F44" s="37"/>
      <c r="G44" s="94"/>
      <c r="H44" s="94"/>
      <c r="I44" s="37"/>
      <c r="J44" s="37"/>
      <c r="K44" s="39"/>
    </row>
    <row r="45" spans="2:12" s="38" customFormat="1" x14ac:dyDescent="0.15">
      <c r="C45" s="39" t="s">
        <v>380</v>
      </c>
      <c r="D45" s="40"/>
      <c r="E45" s="37">
        <v>1</v>
      </c>
      <c r="F45" s="37"/>
      <c r="G45" s="94"/>
      <c r="H45" s="94"/>
      <c r="I45" s="37"/>
      <c r="J45" s="37"/>
      <c r="K45" s="39"/>
    </row>
    <row r="46" spans="2:12" s="38" customFormat="1" x14ac:dyDescent="0.15">
      <c r="C46" s="39" t="s">
        <v>381</v>
      </c>
      <c r="D46" s="40"/>
      <c r="E46" s="37">
        <v>6</v>
      </c>
      <c r="F46" s="37"/>
      <c r="G46" s="94"/>
      <c r="H46" s="94"/>
      <c r="I46" s="37"/>
      <c r="J46" s="37"/>
      <c r="K46" s="39"/>
    </row>
    <row r="47" spans="2:12" s="38" customFormat="1" x14ac:dyDescent="0.15">
      <c r="C47" s="39" t="s">
        <v>382</v>
      </c>
      <c r="D47" s="40"/>
      <c r="E47" s="37">
        <v>2</v>
      </c>
      <c r="F47" s="37"/>
      <c r="G47" s="94"/>
      <c r="H47" s="94"/>
      <c r="I47" s="37"/>
      <c r="J47" s="37"/>
      <c r="K47" s="39"/>
    </row>
    <row r="48" spans="2:12" s="38" customFormat="1" x14ac:dyDescent="0.15">
      <c r="C48" s="39" t="s">
        <v>383</v>
      </c>
      <c r="D48" s="40"/>
      <c r="E48" s="37">
        <v>3</v>
      </c>
      <c r="F48" s="37"/>
      <c r="G48" s="94"/>
      <c r="H48" s="94"/>
      <c r="I48" s="37"/>
      <c r="J48" s="37"/>
      <c r="K48" s="39"/>
    </row>
    <row r="49" spans="3:12" s="38" customFormat="1" x14ac:dyDescent="0.15">
      <c r="C49" s="74" t="s">
        <v>516</v>
      </c>
      <c r="D49" s="40"/>
      <c r="E49" s="37"/>
      <c r="F49" s="37"/>
      <c r="G49" s="94">
        <v>40483</v>
      </c>
      <c r="H49" s="94"/>
      <c r="I49" s="37"/>
      <c r="J49" s="37"/>
      <c r="K49" s="39"/>
    </row>
    <row r="50" spans="3:12" s="38" customFormat="1" x14ac:dyDescent="0.15">
      <c r="C50" s="39" t="s">
        <v>379</v>
      </c>
      <c r="D50" s="40"/>
      <c r="E50" s="37"/>
      <c r="F50" s="37"/>
      <c r="G50" s="94"/>
      <c r="H50" s="94"/>
      <c r="I50" s="37"/>
      <c r="J50" s="37"/>
      <c r="K50" s="39"/>
    </row>
    <row r="51" spans="3:12" s="38" customFormat="1" x14ac:dyDescent="0.15">
      <c r="C51" s="39" t="s">
        <v>353</v>
      </c>
      <c r="D51" s="40"/>
      <c r="E51" s="37"/>
      <c r="F51" s="37"/>
      <c r="G51" s="94"/>
      <c r="H51" s="94"/>
      <c r="I51" s="37"/>
      <c r="J51" s="37"/>
      <c r="K51" s="39"/>
    </row>
    <row r="52" spans="3:12" s="38" customFormat="1" ht="40.5" x14ac:dyDescent="0.15">
      <c r="C52" s="65" t="s">
        <v>354</v>
      </c>
      <c r="D52" s="40"/>
      <c r="E52" s="37"/>
      <c r="F52" s="37"/>
      <c r="G52" s="94"/>
      <c r="H52" s="94"/>
      <c r="I52" s="37"/>
      <c r="J52" s="37"/>
      <c r="K52" s="39"/>
    </row>
    <row r="53" spans="3:12" s="38" customFormat="1" x14ac:dyDescent="0.15">
      <c r="C53" s="39" t="s">
        <v>355</v>
      </c>
      <c r="D53" s="40"/>
      <c r="E53" s="37"/>
      <c r="F53" s="37"/>
      <c r="G53" s="94"/>
      <c r="H53" s="94"/>
      <c r="I53" s="37"/>
      <c r="J53" s="37"/>
      <c r="K53" s="39"/>
    </row>
    <row r="54" spans="3:12" s="38" customFormat="1" x14ac:dyDescent="0.15">
      <c r="C54" s="39" t="s">
        <v>356</v>
      </c>
      <c r="D54" s="40"/>
      <c r="E54" s="37"/>
      <c r="F54" s="37"/>
      <c r="G54" s="94"/>
      <c r="H54" s="94"/>
      <c r="I54" s="37"/>
      <c r="J54" s="37"/>
      <c r="K54" s="39"/>
    </row>
    <row r="55" spans="3:12" s="38" customFormat="1" x14ac:dyDescent="0.15">
      <c r="C55" s="37"/>
      <c r="D55" s="40"/>
      <c r="E55" s="37"/>
      <c r="F55" s="37"/>
      <c r="G55" s="94"/>
      <c r="H55" s="94"/>
      <c r="I55" s="37"/>
      <c r="J55" s="37"/>
      <c r="K55" s="39"/>
    </row>
    <row r="56" spans="3:12" s="38" customFormat="1" x14ac:dyDescent="0.15">
      <c r="C56" s="37"/>
      <c r="D56" s="40"/>
      <c r="E56" s="37"/>
      <c r="F56" s="37"/>
      <c r="G56" s="94"/>
      <c r="H56" s="94"/>
      <c r="I56" s="37"/>
      <c r="J56" s="37"/>
      <c r="K56" s="39"/>
    </row>
    <row r="57" spans="3:12" s="38" customFormat="1" x14ac:dyDescent="0.15">
      <c r="C57" s="37"/>
      <c r="D57" s="40"/>
      <c r="E57" s="37"/>
      <c r="F57" s="37"/>
      <c r="G57" s="94"/>
      <c r="H57" s="94"/>
      <c r="I57" s="37"/>
      <c r="J57" s="37"/>
      <c r="K57" s="39"/>
    </row>
    <row r="58" spans="3:12" s="38" customFormat="1" x14ac:dyDescent="0.15">
      <c r="C58" s="39" t="s">
        <v>316</v>
      </c>
      <c r="D58" s="40" t="s">
        <v>286</v>
      </c>
      <c r="E58" s="37">
        <v>8</v>
      </c>
      <c r="F58" s="37"/>
      <c r="G58" s="94"/>
      <c r="H58" s="94"/>
      <c r="I58" s="37"/>
      <c r="J58" s="37"/>
      <c r="K58" s="39"/>
    </row>
    <row r="59" spans="3:12" s="38" customFormat="1" x14ac:dyDescent="0.15">
      <c r="C59" s="39"/>
      <c r="D59" s="40"/>
      <c r="E59" s="37"/>
      <c r="F59" s="37"/>
      <c r="G59" s="94"/>
      <c r="H59" s="94"/>
      <c r="I59" s="37"/>
      <c r="J59" s="37"/>
      <c r="K59" s="39"/>
    </row>
    <row r="60" spans="3:12" s="38" customFormat="1" x14ac:dyDescent="0.15">
      <c r="C60" s="39" t="s">
        <v>317</v>
      </c>
      <c r="D60" s="40" t="s">
        <v>297</v>
      </c>
      <c r="E60" s="37">
        <v>32</v>
      </c>
      <c r="F60" s="37"/>
      <c r="G60" s="94"/>
      <c r="H60" s="94"/>
      <c r="I60" s="37"/>
      <c r="J60" s="37"/>
      <c r="K60" s="39"/>
      <c r="L60" s="37" t="s">
        <v>334</v>
      </c>
    </row>
    <row r="61" spans="3:12" s="38" customFormat="1" x14ac:dyDescent="0.15">
      <c r="C61" s="64" t="s">
        <v>385</v>
      </c>
      <c r="D61" s="40"/>
      <c r="E61" s="37"/>
      <c r="F61" s="37"/>
      <c r="G61" s="94"/>
      <c r="H61" s="94"/>
      <c r="I61" s="37"/>
      <c r="J61" s="37"/>
      <c r="K61" s="39"/>
      <c r="L61" s="37"/>
    </row>
    <row r="62" spans="3:12" s="38" customFormat="1" x14ac:dyDescent="0.15">
      <c r="C62" s="66" t="s">
        <v>358</v>
      </c>
      <c r="D62" s="55"/>
      <c r="E62" s="59">
        <v>1</v>
      </c>
      <c r="F62" s="59"/>
      <c r="G62" s="95"/>
      <c r="H62" s="95"/>
      <c r="I62" s="59"/>
      <c r="J62" s="59"/>
      <c r="K62" s="60"/>
      <c r="L62" s="37"/>
    </row>
    <row r="63" spans="3:12" s="38" customFormat="1" x14ac:dyDescent="0.15">
      <c r="C63" s="66" t="s">
        <v>361</v>
      </c>
      <c r="D63" s="55"/>
      <c r="E63" s="59">
        <v>2</v>
      </c>
      <c r="F63" s="59"/>
      <c r="G63" s="95"/>
      <c r="H63" s="95"/>
      <c r="I63" s="59"/>
      <c r="J63" s="59"/>
      <c r="K63" s="60"/>
      <c r="L63" s="37"/>
    </row>
    <row r="64" spans="3:12" s="38" customFormat="1" x14ac:dyDescent="0.15">
      <c r="C64" s="66" t="s">
        <v>359</v>
      </c>
      <c r="D64" s="55"/>
      <c r="E64" s="59"/>
      <c r="F64" s="59"/>
      <c r="G64" s="95"/>
      <c r="H64" s="95"/>
      <c r="I64" s="59"/>
      <c r="J64" s="59"/>
      <c r="K64" s="60"/>
      <c r="L64" s="37"/>
    </row>
    <row r="65" spans="2:12" s="38" customFormat="1" x14ac:dyDescent="0.15">
      <c r="C65" s="66" t="s">
        <v>360</v>
      </c>
      <c r="D65" s="55"/>
      <c r="E65" s="59"/>
      <c r="F65" s="59"/>
      <c r="G65" s="95"/>
      <c r="H65" s="95"/>
      <c r="I65" s="59"/>
      <c r="J65" s="59"/>
      <c r="K65" s="60"/>
      <c r="L65" s="37"/>
    </row>
    <row r="66" spans="2:12" s="38" customFormat="1" x14ac:dyDescent="0.15">
      <c r="C66" s="66" t="s">
        <v>362</v>
      </c>
      <c r="D66" s="55"/>
      <c r="E66" s="59"/>
      <c r="F66" s="59"/>
      <c r="G66" s="95"/>
      <c r="H66" s="95"/>
      <c r="I66" s="59"/>
      <c r="J66" s="59"/>
      <c r="K66" s="60"/>
      <c r="L66" s="37"/>
    </row>
    <row r="67" spans="2:12" s="38" customFormat="1" x14ac:dyDescent="0.15">
      <c r="C67" s="56"/>
      <c r="D67" s="40"/>
      <c r="E67" s="37"/>
      <c r="F67" s="37"/>
      <c r="G67" s="94"/>
      <c r="H67" s="94"/>
      <c r="I67" s="37"/>
      <c r="J67" s="37"/>
      <c r="K67" s="39"/>
      <c r="L67" s="37"/>
    </row>
    <row r="68" spans="2:12" s="38" customFormat="1" x14ac:dyDescent="0.15">
      <c r="C68" s="56"/>
      <c r="D68" s="40"/>
      <c r="E68" s="37"/>
      <c r="F68" s="37"/>
      <c r="G68" s="94"/>
      <c r="H68" s="94"/>
      <c r="I68" s="37"/>
      <c r="J68" s="37"/>
      <c r="K68" s="39"/>
      <c r="L68" s="37"/>
    </row>
    <row r="69" spans="2:12" s="38" customFormat="1" x14ac:dyDescent="0.15">
      <c r="C69" s="56"/>
      <c r="D69" s="40"/>
      <c r="E69" s="37"/>
      <c r="F69" s="37"/>
      <c r="G69" s="94"/>
      <c r="H69" s="94"/>
      <c r="I69" s="37"/>
      <c r="J69" s="37"/>
      <c r="K69" s="39"/>
      <c r="L69" s="37"/>
    </row>
    <row r="70" spans="2:12" s="38" customFormat="1" x14ac:dyDescent="0.15">
      <c r="C70" s="37"/>
      <c r="D70" s="40"/>
      <c r="E70" s="37"/>
      <c r="F70" s="37"/>
      <c r="G70" s="94"/>
      <c r="H70" s="94"/>
      <c r="I70" s="37"/>
      <c r="J70" s="37"/>
      <c r="K70" s="39"/>
    </row>
    <row r="71" spans="2:12" s="38" customFormat="1" x14ac:dyDescent="0.15">
      <c r="B71" s="56">
        <v>3</v>
      </c>
      <c r="C71" s="63" t="s">
        <v>386</v>
      </c>
      <c r="D71" s="56"/>
      <c r="E71" s="56">
        <f>SUM(E72:E78)</f>
        <v>24</v>
      </c>
      <c r="F71" s="56"/>
      <c r="G71" s="93">
        <v>40497</v>
      </c>
      <c r="H71" s="93"/>
      <c r="I71" s="56"/>
      <c r="J71" s="56"/>
      <c r="K71" s="58" t="s">
        <v>332</v>
      </c>
      <c r="L71" s="56">
        <v>48</v>
      </c>
    </row>
    <row r="72" spans="2:12" s="38" customFormat="1" x14ac:dyDescent="0.15">
      <c r="C72" s="39" t="s">
        <v>322</v>
      </c>
      <c r="D72" s="40" t="s">
        <v>286</v>
      </c>
      <c r="E72" s="37">
        <v>2</v>
      </c>
      <c r="F72" s="37"/>
      <c r="G72" s="94"/>
      <c r="H72" s="94"/>
      <c r="I72" s="37"/>
      <c r="J72" s="37"/>
      <c r="K72" s="39"/>
    </row>
    <row r="73" spans="2:12" s="38" customFormat="1" x14ac:dyDescent="0.15">
      <c r="C73" s="39" t="s">
        <v>319</v>
      </c>
      <c r="D73" s="40" t="s">
        <v>286</v>
      </c>
      <c r="E73" s="37">
        <v>4</v>
      </c>
      <c r="F73" s="37"/>
      <c r="G73" s="94"/>
      <c r="H73" s="94"/>
      <c r="I73" s="37"/>
      <c r="J73" s="37"/>
      <c r="K73" s="39"/>
    </row>
    <row r="74" spans="2:12" s="38" customFormat="1" x14ac:dyDescent="0.15">
      <c r="C74" s="39" t="s">
        <v>323</v>
      </c>
      <c r="D74" s="40" t="s">
        <v>286</v>
      </c>
      <c r="E74" s="37">
        <v>6</v>
      </c>
      <c r="F74" s="37"/>
      <c r="G74" s="94"/>
      <c r="H74" s="94"/>
      <c r="I74" s="37"/>
      <c r="J74" s="37"/>
      <c r="K74" s="39"/>
    </row>
    <row r="75" spans="2:12" s="38" customFormat="1" x14ac:dyDescent="0.15">
      <c r="C75" s="39" t="s">
        <v>320</v>
      </c>
      <c r="D75" s="40" t="s">
        <v>286</v>
      </c>
      <c r="E75" s="37">
        <v>4</v>
      </c>
      <c r="F75" s="37"/>
      <c r="G75" s="94"/>
      <c r="H75" s="94"/>
      <c r="I75" s="37"/>
      <c r="J75" s="37"/>
      <c r="K75" s="39"/>
    </row>
    <row r="76" spans="2:12" s="38" customFormat="1" x14ac:dyDescent="0.15">
      <c r="C76" s="39" t="s">
        <v>324</v>
      </c>
      <c r="D76" s="40" t="s">
        <v>286</v>
      </c>
      <c r="E76" s="37">
        <v>8</v>
      </c>
      <c r="F76" s="37"/>
      <c r="G76" s="94"/>
      <c r="H76" s="94"/>
      <c r="I76" s="37"/>
      <c r="J76" s="37"/>
      <c r="K76" s="39"/>
    </row>
    <row r="77" spans="2:12" s="38" customFormat="1" x14ac:dyDescent="0.15">
      <c r="C77" s="39" t="s">
        <v>430</v>
      </c>
      <c r="D77" s="40"/>
      <c r="E77" s="37"/>
      <c r="F77" s="37"/>
      <c r="G77" s="94"/>
      <c r="H77" s="94"/>
      <c r="I77" s="37"/>
      <c r="J77" s="37"/>
      <c r="K77" s="39"/>
    </row>
    <row r="78" spans="2:12" s="38" customFormat="1" x14ac:dyDescent="0.15">
      <c r="C78" s="37"/>
      <c r="D78" s="40"/>
      <c r="E78" s="37"/>
      <c r="F78" s="37"/>
      <c r="G78" s="94"/>
      <c r="H78" s="94"/>
      <c r="I78" s="37"/>
      <c r="J78" s="37"/>
      <c r="K78" s="39"/>
    </row>
    <row r="79" spans="2:12" s="40" customFormat="1" x14ac:dyDescent="0.15">
      <c r="B79" s="50">
        <v>4</v>
      </c>
      <c r="C79" s="57" t="s">
        <v>387</v>
      </c>
      <c r="D79" s="50"/>
      <c r="E79" s="50">
        <f>SUM(E80:E83)</f>
        <v>2</v>
      </c>
      <c r="F79" s="50"/>
      <c r="G79" s="89"/>
      <c r="H79" s="89"/>
      <c r="I79" s="50"/>
      <c r="J79" s="50"/>
      <c r="K79" s="58" t="s">
        <v>332</v>
      </c>
      <c r="L79" s="50">
        <v>64</v>
      </c>
    </row>
    <row r="80" spans="2:12" s="40" customFormat="1" x14ac:dyDescent="0.15">
      <c r="C80" s="45" t="s">
        <v>325</v>
      </c>
      <c r="D80" s="40" t="s">
        <v>286</v>
      </c>
      <c r="E80" s="40">
        <v>2</v>
      </c>
      <c r="G80" s="91"/>
      <c r="H80" s="91"/>
      <c r="K80" s="45"/>
    </row>
    <row r="81" spans="2:12" s="40" customFormat="1" x14ac:dyDescent="0.15">
      <c r="C81" s="45" t="s">
        <v>333</v>
      </c>
      <c r="G81" s="91"/>
      <c r="H81" s="91"/>
      <c r="K81" s="45"/>
    </row>
    <row r="82" spans="2:12" s="40" customFormat="1" x14ac:dyDescent="0.15">
      <c r="C82" s="45"/>
      <c r="G82" s="91"/>
      <c r="H82" s="91"/>
      <c r="K82" s="45"/>
    </row>
    <row r="83" spans="2:12" s="40" customFormat="1" x14ac:dyDescent="0.15">
      <c r="C83" s="45"/>
      <c r="G83" s="91"/>
      <c r="H83" s="91"/>
      <c r="K83" s="45"/>
    </row>
    <row r="84" spans="2:12" s="40" customFormat="1" x14ac:dyDescent="0.15">
      <c r="C84" s="45"/>
      <c r="G84" s="91"/>
      <c r="H84" s="91"/>
      <c r="K84" s="45"/>
    </row>
    <row r="85" spans="2:12" s="40" customFormat="1" x14ac:dyDescent="0.15">
      <c r="C85" s="67"/>
      <c r="G85" s="91"/>
      <c r="H85" s="91"/>
      <c r="K85" s="45"/>
    </row>
    <row r="86" spans="2:12" s="40" customFormat="1" x14ac:dyDescent="0.15">
      <c r="B86" s="50">
        <v>6</v>
      </c>
      <c r="C86" s="57" t="s">
        <v>388</v>
      </c>
      <c r="D86" s="50"/>
      <c r="E86" s="50">
        <f>SUM(E87:E89)</f>
        <v>2</v>
      </c>
      <c r="F86" s="50"/>
      <c r="G86" s="89"/>
      <c r="H86" s="89"/>
      <c r="I86" s="50"/>
      <c r="J86" s="50"/>
      <c r="K86" s="58" t="s">
        <v>332</v>
      </c>
      <c r="L86" s="50">
        <v>48</v>
      </c>
    </row>
    <row r="87" spans="2:12" s="40" customFormat="1" x14ac:dyDescent="0.15">
      <c r="C87" s="45" t="s">
        <v>326</v>
      </c>
      <c r="D87" s="40" t="s">
        <v>286</v>
      </c>
      <c r="E87" s="40">
        <v>2</v>
      </c>
      <c r="G87" s="91"/>
      <c r="H87" s="91"/>
      <c r="K87" s="45"/>
      <c r="L87" s="45"/>
    </row>
    <row r="88" spans="2:12" s="40" customFormat="1" x14ac:dyDescent="0.15">
      <c r="C88" s="45"/>
      <c r="G88" s="91"/>
      <c r="H88" s="91"/>
      <c r="K88" s="45"/>
      <c r="L88" s="45"/>
    </row>
    <row r="89" spans="2:12" s="40" customFormat="1" x14ac:dyDescent="0.15">
      <c r="C89" s="45"/>
      <c r="G89" s="91"/>
      <c r="H89" s="91"/>
      <c r="K89" s="45"/>
    </row>
    <row r="90" spans="2:12" s="40" customFormat="1" ht="67.5" x14ac:dyDescent="0.15">
      <c r="B90" s="50" t="s">
        <v>357</v>
      </c>
      <c r="C90" s="57" t="s">
        <v>321</v>
      </c>
      <c r="D90" s="50"/>
      <c r="E90" s="50">
        <f>SUM(E91:E94)</f>
        <v>64</v>
      </c>
      <c r="F90" s="50"/>
      <c r="G90" s="89"/>
      <c r="H90" s="89"/>
      <c r="I90" s="50"/>
      <c r="J90" s="50"/>
      <c r="K90" s="51" t="s">
        <v>389</v>
      </c>
      <c r="L90" s="50"/>
    </row>
    <row r="91" spans="2:12" s="40" customFormat="1" x14ac:dyDescent="0.15">
      <c r="C91" s="47" t="s">
        <v>318</v>
      </c>
      <c r="D91" s="40" t="s">
        <v>297</v>
      </c>
      <c r="E91" s="40">
        <v>64</v>
      </c>
      <c r="G91" s="91"/>
      <c r="H91" s="91"/>
      <c r="K91" s="45"/>
    </row>
    <row r="92" spans="2:12" s="40" customFormat="1" x14ac:dyDescent="0.15">
      <c r="C92" s="46"/>
      <c r="G92" s="91"/>
      <c r="H92" s="91"/>
      <c r="K92" s="47"/>
    </row>
    <row r="93" spans="2:12" s="40" customFormat="1" x14ac:dyDescent="0.15">
      <c r="C93" s="46"/>
      <c r="G93" s="91"/>
      <c r="H93" s="91"/>
      <c r="K93" s="45"/>
    </row>
    <row r="94" spans="2:12" s="40" customFormat="1" x14ac:dyDescent="0.15">
      <c r="G94" s="91"/>
      <c r="H94" s="91"/>
      <c r="K94" s="45"/>
    </row>
    <row r="95" spans="2:12" x14ac:dyDescent="0.15">
      <c r="B95" s="43"/>
      <c r="C95" s="43" t="s">
        <v>284</v>
      </c>
      <c r="D95" s="35"/>
      <c r="E95" s="41">
        <f t="array" ref="E95">SUM((B2:B94&lt;&gt;"")*E2:E94)</f>
        <v>209</v>
      </c>
      <c r="F95" s="41"/>
      <c r="G95" s="96"/>
      <c r="H95" s="96"/>
      <c r="I95" s="41"/>
      <c r="J95" s="41"/>
      <c r="K95" s="42" t="s">
        <v>293</v>
      </c>
      <c r="L95" s="48">
        <f>L2+L43+L71+L79+L86</f>
        <v>304</v>
      </c>
    </row>
    <row r="96" spans="2:12" x14ac:dyDescent="0.15">
      <c r="B96" s="43"/>
      <c r="C96" s="44" t="s">
        <v>285</v>
      </c>
      <c r="D96" s="35"/>
      <c r="E96" s="41">
        <f t="array" ref="E96">SUM(($B$2:$B94="")*$E$2:$E94)</f>
        <v>209</v>
      </c>
      <c r="F96" s="41"/>
      <c r="G96" s="96"/>
      <c r="H96" s="96"/>
      <c r="I96" s="41"/>
      <c r="J96" s="41"/>
      <c r="K96" s="41" t="s">
        <v>313</v>
      </c>
      <c r="L96" s="35">
        <f>E95-L95</f>
        <v>-95</v>
      </c>
    </row>
  </sheetData>
  <phoneticPr fontId="2"/>
  <conditionalFormatting sqref="D2:D94">
    <cfRule type="cellIs" dxfId="0" priority="1" operator="equal">
      <formula>"难"</formula>
    </cfRule>
  </conditionalFormatting>
  <dataValidations count="1">
    <dataValidation type="list" allowBlank="1" showInputMessage="1" showErrorMessage="1" sqref="D87:D94 D72:D78 D4:D36 D38:D42 D44:D70 D80:D85">
      <formula1>"简单,中等,稍难,难"</formula1>
    </dataValidation>
  </dataValidations>
  <pageMargins left="0.70866141732283472" right="0.70866141732283472" top="0.74803149606299213" bottom="0.74803149606299213" header="0.31496062992125984" footer="0.31496062992125984"/>
  <pageSetup paperSize="9" scale="8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0"/>
  <sheetViews>
    <sheetView workbookViewId="0">
      <selection activeCell="B4" sqref="B4"/>
    </sheetView>
  </sheetViews>
  <sheetFormatPr defaultRowHeight="11.25" customHeight="1" x14ac:dyDescent="0.15"/>
  <cols>
    <col min="1" max="1" width="4.625" style="3" customWidth="1"/>
    <col min="2" max="2" width="18.625" style="2" customWidth="1"/>
    <col min="3" max="3" width="1.375" style="2" customWidth="1"/>
    <col min="4" max="4" width="40.625" style="1" customWidth="1"/>
    <col min="5" max="16384" width="9" style="1"/>
  </cols>
  <sheetData>
    <row r="1" spans="1:4" ht="11.25" customHeight="1" x14ac:dyDescent="0.15">
      <c r="A1" s="145"/>
      <c r="B1" s="146"/>
      <c r="C1" s="146"/>
      <c r="D1" s="146"/>
    </row>
    <row r="2" spans="1:4" ht="11.25" customHeight="1" x14ac:dyDescent="0.15">
      <c r="A2" s="146"/>
      <c r="B2" s="146"/>
      <c r="C2" s="146"/>
      <c r="D2" s="146"/>
    </row>
    <row r="3" spans="1:4" ht="11.25" customHeight="1" x14ac:dyDescent="0.15">
      <c r="B3" s="3"/>
      <c r="C3" s="3"/>
      <c r="D3" s="3"/>
    </row>
    <row r="4" spans="1:4" ht="11.25" customHeight="1" x14ac:dyDescent="0.15">
      <c r="A4" s="19" t="s">
        <v>225</v>
      </c>
      <c r="B4" s="19"/>
      <c r="C4" s="19"/>
      <c r="D4" s="19" t="s">
        <v>226</v>
      </c>
    </row>
    <row r="5" spans="1:4" ht="11.25" customHeight="1" thickBot="1" x14ac:dyDescent="0.2">
      <c r="B5" s="3"/>
      <c r="C5" s="3"/>
    </row>
    <row r="6" spans="1:4" s="12" customFormat="1" ht="11.25" customHeight="1" x14ac:dyDescent="0.15">
      <c r="A6" s="18" t="s">
        <v>68</v>
      </c>
      <c r="B6" s="17" t="s">
        <v>67</v>
      </c>
      <c r="C6" s="17"/>
      <c r="D6" s="16" t="s">
        <v>66</v>
      </c>
    </row>
    <row r="7" spans="1:4" s="12" customFormat="1" ht="11.25" customHeight="1" x14ac:dyDescent="0.15">
      <c r="A7" s="141">
        <v>1</v>
      </c>
      <c r="B7" s="142"/>
      <c r="C7" s="7"/>
      <c r="D7" s="6"/>
    </row>
    <row r="8" spans="1:4" s="12" customFormat="1" ht="11.25" customHeight="1" x14ac:dyDescent="0.15">
      <c r="A8" s="137"/>
      <c r="B8" s="138"/>
      <c r="C8" s="7"/>
      <c r="D8" s="6"/>
    </row>
    <row r="9" spans="1:4" s="12" customFormat="1" ht="11.25" customHeight="1" x14ac:dyDescent="0.15">
      <c r="A9" s="137"/>
      <c r="B9" s="138"/>
      <c r="C9" s="7"/>
      <c r="D9" s="6"/>
    </row>
    <row r="10" spans="1:4" s="12" customFormat="1" ht="11.25" customHeight="1" x14ac:dyDescent="0.15">
      <c r="A10" s="137"/>
      <c r="B10" s="138"/>
      <c r="C10" s="9"/>
      <c r="D10" s="6"/>
    </row>
    <row r="11" spans="1:4" s="12" customFormat="1" ht="11.25" customHeight="1" x14ac:dyDescent="0.15">
      <c r="A11" s="137">
        <v>2</v>
      </c>
      <c r="B11" s="138"/>
      <c r="C11" s="7"/>
      <c r="D11" s="8"/>
    </row>
    <row r="12" spans="1:4" s="12" customFormat="1" ht="11.25" customHeight="1" x14ac:dyDescent="0.15">
      <c r="A12" s="137"/>
      <c r="B12" s="138"/>
      <c r="C12" s="7"/>
      <c r="D12" s="6"/>
    </row>
    <row r="13" spans="1:4" s="12" customFormat="1" ht="11.25" customHeight="1" x14ac:dyDescent="0.15">
      <c r="A13" s="137"/>
      <c r="B13" s="138"/>
      <c r="C13" s="9"/>
      <c r="D13" s="15"/>
    </row>
    <row r="14" spans="1:4" s="12" customFormat="1" ht="11.25" customHeight="1" x14ac:dyDescent="0.15">
      <c r="A14" s="137">
        <v>3</v>
      </c>
      <c r="B14" s="138"/>
      <c r="C14" s="7"/>
      <c r="D14" s="6"/>
    </row>
    <row r="15" spans="1:4" s="12" customFormat="1" ht="11.25" customHeight="1" x14ac:dyDescent="0.15">
      <c r="A15" s="137"/>
      <c r="B15" s="138"/>
      <c r="C15" s="7"/>
      <c r="D15" s="6"/>
    </row>
    <row r="16" spans="1:4" s="12" customFormat="1" ht="11.25" customHeight="1" x14ac:dyDescent="0.15">
      <c r="A16" s="137"/>
      <c r="B16" s="138"/>
      <c r="C16" s="7"/>
      <c r="D16" s="6"/>
    </row>
    <row r="17" spans="1:4" s="12" customFormat="1" ht="11.25" customHeight="1" x14ac:dyDescent="0.15">
      <c r="A17" s="137"/>
      <c r="B17" s="138"/>
      <c r="C17" s="7"/>
      <c r="D17" s="6"/>
    </row>
    <row r="18" spans="1:4" s="12" customFormat="1" ht="11.25" customHeight="1" x14ac:dyDescent="0.15">
      <c r="A18" s="137"/>
      <c r="B18" s="138"/>
      <c r="C18" s="7"/>
      <c r="D18" s="6"/>
    </row>
    <row r="19" spans="1:4" s="12" customFormat="1" ht="11.25" customHeight="1" x14ac:dyDescent="0.15">
      <c r="A19" s="137"/>
      <c r="B19" s="138"/>
      <c r="C19" s="7"/>
      <c r="D19" s="6"/>
    </row>
    <row r="20" spans="1:4" s="12" customFormat="1" ht="11.25" customHeight="1" x14ac:dyDescent="0.15">
      <c r="A20" s="137"/>
      <c r="B20" s="138"/>
      <c r="C20" s="9"/>
      <c r="D20" s="6"/>
    </row>
    <row r="21" spans="1:4" s="12" customFormat="1" ht="11.25" customHeight="1" x14ac:dyDescent="0.15">
      <c r="A21" s="137">
        <v>4</v>
      </c>
      <c r="B21" s="138"/>
      <c r="C21" s="7"/>
      <c r="D21" s="8"/>
    </row>
    <row r="22" spans="1:4" s="12" customFormat="1" ht="11.25" customHeight="1" x14ac:dyDescent="0.15">
      <c r="A22" s="137"/>
      <c r="B22" s="138"/>
      <c r="C22" s="7"/>
      <c r="D22" s="6"/>
    </row>
    <row r="23" spans="1:4" s="12" customFormat="1" ht="11.25" customHeight="1" x14ac:dyDescent="0.15">
      <c r="A23" s="137"/>
      <c r="B23" s="138"/>
      <c r="C23" s="7"/>
      <c r="D23" s="6"/>
    </row>
    <row r="24" spans="1:4" s="12" customFormat="1" ht="11.25" customHeight="1" x14ac:dyDescent="0.15">
      <c r="A24" s="137"/>
      <c r="B24" s="138"/>
      <c r="C24" s="7"/>
      <c r="D24" s="6"/>
    </row>
    <row r="25" spans="1:4" s="12" customFormat="1" ht="11.25" customHeight="1" x14ac:dyDescent="0.15">
      <c r="A25" s="137"/>
      <c r="B25" s="138"/>
      <c r="C25" s="7"/>
      <c r="D25" s="6"/>
    </row>
    <row r="26" spans="1:4" s="12" customFormat="1" ht="11.25" customHeight="1" x14ac:dyDescent="0.15">
      <c r="A26" s="137"/>
      <c r="B26" s="138"/>
      <c r="C26" s="7"/>
      <c r="D26" s="6"/>
    </row>
    <row r="27" spans="1:4" s="12" customFormat="1" ht="11.25" customHeight="1" x14ac:dyDescent="0.15">
      <c r="A27" s="137"/>
      <c r="B27" s="138"/>
      <c r="C27" s="7"/>
      <c r="D27" s="6"/>
    </row>
    <row r="28" spans="1:4" s="12" customFormat="1" ht="11.25" customHeight="1" x14ac:dyDescent="0.15">
      <c r="A28" s="137"/>
      <c r="B28" s="147"/>
      <c r="C28" s="9"/>
      <c r="D28" s="6"/>
    </row>
    <row r="29" spans="1:4" s="12" customFormat="1" ht="11.25" customHeight="1" x14ac:dyDescent="0.15">
      <c r="A29" s="137">
        <v>5</v>
      </c>
      <c r="B29" s="138"/>
      <c r="C29" s="7"/>
      <c r="D29" s="8"/>
    </row>
    <row r="30" spans="1:4" s="12" customFormat="1" ht="11.25" customHeight="1" x14ac:dyDescent="0.15">
      <c r="A30" s="137"/>
      <c r="B30" s="138"/>
      <c r="C30" s="7"/>
      <c r="D30" s="6"/>
    </row>
    <row r="31" spans="1:4" s="12" customFormat="1" ht="11.25" customHeight="1" x14ac:dyDescent="0.15">
      <c r="A31" s="137"/>
      <c r="B31" s="138"/>
      <c r="C31" s="7"/>
      <c r="D31" s="6"/>
    </row>
    <row r="32" spans="1:4" s="12" customFormat="1" ht="11.25" customHeight="1" x14ac:dyDescent="0.15">
      <c r="A32" s="137"/>
      <c r="B32" s="138"/>
      <c r="C32" s="9"/>
      <c r="D32" s="10"/>
    </row>
    <row r="33" spans="1:4" s="12" customFormat="1" ht="11.25" customHeight="1" x14ac:dyDescent="0.15">
      <c r="A33" s="137">
        <v>6</v>
      </c>
      <c r="B33" s="144"/>
      <c r="C33" s="14"/>
      <c r="D33" s="8"/>
    </row>
    <row r="34" spans="1:4" s="12" customFormat="1" ht="11.25" customHeight="1" x14ac:dyDescent="0.15">
      <c r="A34" s="137"/>
      <c r="B34" s="138"/>
      <c r="C34" s="14"/>
      <c r="D34" s="6"/>
    </row>
    <row r="35" spans="1:4" s="12" customFormat="1" ht="11.25" customHeight="1" x14ac:dyDescent="0.15">
      <c r="A35" s="137"/>
      <c r="B35" s="138"/>
      <c r="C35" s="14"/>
      <c r="D35" s="6"/>
    </row>
    <row r="36" spans="1:4" s="12" customFormat="1" ht="11.25" customHeight="1" x14ac:dyDescent="0.15">
      <c r="A36" s="137"/>
      <c r="B36" s="138"/>
      <c r="C36" s="14"/>
      <c r="D36" s="6"/>
    </row>
    <row r="37" spans="1:4" s="12" customFormat="1" ht="11.25" customHeight="1" x14ac:dyDescent="0.15">
      <c r="A37" s="137"/>
      <c r="B37" s="138"/>
      <c r="C37" s="13"/>
      <c r="D37" s="10"/>
    </row>
    <row r="38" spans="1:4" s="12" customFormat="1" ht="11.25" customHeight="1" x14ac:dyDescent="0.15">
      <c r="A38" s="141">
        <v>7</v>
      </c>
      <c r="B38" s="142"/>
      <c r="C38" s="7"/>
      <c r="D38" s="6"/>
    </row>
    <row r="39" spans="1:4" s="12" customFormat="1" ht="11.25" customHeight="1" x14ac:dyDescent="0.15">
      <c r="A39" s="137"/>
      <c r="B39" s="138"/>
      <c r="C39" s="7"/>
      <c r="D39" s="6"/>
    </row>
    <row r="40" spans="1:4" s="12" customFormat="1" ht="11.25" customHeight="1" x14ac:dyDescent="0.15">
      <c r="A40" s="137"/>
      <c r="B40" s="138"/>
      <c r="C40" s="7"/>
      <c r="D40" s="6"/>
    </row>
    <row r="41" spans="1:4" s="12" customFormat="1" ht="11.25" customHeight="1" x14ac:dyDescent="0.15">
      <c r="A41" s="137"/>
      <c r="B41" s="138"/>
      <c r="C41" s="9"/>
      <c r="D41" s="10"/>
    </row>
    <row r="42" spans="1:4" s="12" customFormat="1" ht="11.25" customHeight="1" x14ac:dyDescent="0.15">
      <c r="A42" s="141">
        <v>8</v>
      </c>
      <c r="B42" s="142"/>
      <c r="C42" s="7"/>
      <c r="D42" s="6"/>
    </row>
    <row r="43" spans="1:4" s="12" customFormat="1" ht="11.25" customHeight="1" x14ac:dyDescent="0.15">
      <c r="A43" s="141"/>
      <c r="B43" s="142"/>
      <c r="C43" s="7"/>
      <c r="D43" s="6"/>
    </row>
    <row r="44" spans="1:4" s="12" customFormat="1" ht="11.25" customHeight="1" x14ac:dyDescent="0.15">
      <c r="A44" s="141"/>
      <c r="B44" s="143"/>
      <c r="C44" s="9"/>
      <c r="D44" s="6"/>
    </row>
    <row r="45" spans="1:4" ht="11.25" customHeight="1" x14ac:dyDescent="0.15">
      <c r="A45" s="141">
        <v>9</v>
      </c>
      <c r="B45" s="138"/>
      <c r="C45" s="7"/>
      <c r="D45" s="11"/>
    </row>
    <row r="46" spans="1:4" ht="11.25" customHeight="1" x14ac:dyDescent="0.15">
      <c r="A46" s="137"/>
      <c r="B46" s="138"/>
      <c r="C46" s="7"/>
      <c r="D46" s="6"/>
    </row>
    <row r="47" spans="1:4" ht="11.25" customHeight="1" x14ac:dyDescent="0.15">
      <c r="A47" s="137"/>
      <c r="B47" s="138"/>
      <c r="C47" s="7"/>
      <c r="D47" s="6"/>
    </row>
    <row r="48" spans="1:4" ht="11.25" customHeight="1" x14ac:dyDescent="0.15">
      <c r="A48" s="137"/>
      <c r="B48" s="138"/>
      <c r="C48" s="7"/>
      <c r="D48" s="6"/>
    </row>
    <row r="49" spans="1:4" ht="11.25" customHeight="1" x14ac:dyDescent="0.15">
      <c r="A49" s="137"/>
      <c r="B49" s="138"/>
      <c r="C49" s="9"/>
      <c r="D49" s="10"/>
    </row>
    <row r="50" spans="1:4" ht="11.25" customHeight="1" x14ac:dyDescent="0.15">
      <c r="A50" s="137">
        <v>10</v>
      </c>
      <c r="B50" s="138"/>
      <c r="C50" s="7"/>
      <c r="D50" s="8"/>
    </row>
    <row r="51" spans="1:4" ht="11.25" customHeight="1" x14ac:dyDescent="0.15">
      <c r="A51" s="137"/>
      <c r="B51" s="138"/>
      <c r="C51" s="7"/>
      <c r="D51" s="6"/>
    </row>
    <row r="52" spans="1:4" ht="11.25" customHeight="1" x14ac:dyDescent="0.15">
      <c r="A52" s="137"/>
      <c r="B52" s="138"/>
      <c r="C52" s="9"/>
      <c r="D52" s="10"/>
    </row>
    <row r="53" spans="1:4" ht="11.25" customHeight="1" x14ac:dyDescent="0.15">
      <c r="A53" s="137">
        <v>11</v>
      </c>
      <c r="B53" s="138"/>
      <c r="C53" s="7"/>
      <c r="D53" s="6"/>
    </row>
    <row r="54" spans="1:4" ht="11.25" customHeight="1" x14ac:dyDescent="0.15">
      <c r="A54" s="137"/>
      <c r="B54" s="138"/>
      <c r="C54" s="7"/>
      <c r="D54" s="6"/>
    </row>
    <row r="55" spans="1:4" ht="11.25" customHeight="1" x14ac:dyDescent="0.15">
      <c r="A55" s="137"/>
      <c r="B55" s="138"/>
      <c r="C55" s="7"/>
      <c r="D55" s="6"/>
    </row>
    <row r="56" spans="1:4" ht="11.25" customHeight="1" x14ac:dyDescent="0.15">
      <c r="A56" s="137"/>
      <c r="B56" s="138"/>
      <c r="C56" s="9"/>
      <c r="D56" s="6"/>
    </row>
    <row r="57" spans="1:4" ht="11.25" customHeight="1" x14ac:dyDescent="0.15">
      <c r="A57" s="137">
        <v>12</v>
      </c>
      <c r="B57" s="138"/>
      <c r="C57" s="7"/>
      <c r="D57" s="8"/>
    </row>
    <row r="58" spans="1:4" ht="11.25" customHeight="1" x14ac:dyDescent="0.15">
      <c r="A58" s="137"/>
      <c r="B58" s="138"/>
      <c r="C58" s="7"/>
      <c r="D58" s="6"/>
    </row>
    <row r="59" spans="1:4" ht="11.25" customHeight="1" x14ac:dyDescent="0.15">
      <c r="A59" s="137"/>
      <c r="B59" s="138"/>
      <c r="C59" s="7"/>
      <c r="D59" s="6"/>
    </row>
    <row r="60" spans="1:4" ht="11.25" customHeight="1" thickBot="1" x14ac:dyDescent="0.2">
      <c r="A60" s="139"/>
      <c r="B60" s="140"/>
      <c r="C60" s="5"/>
      <c r="D60" s="4"/>
    </row>
  </sheetData>
  <mergeCells count="25">
    <mergeCell ref="A14:A20"/>
    <mergeCell ref="B14:B20"/>
    <mergeCell ref="A21:A28"/>
    <mergeCell ref="A1:D2"/>
    <mergeCell ref="A7:A10"/>
    <mergeCell ref="B7:B10"/>
    <mergeCell ref="A11:A13"/>
    <mergeCell ref="B11:B13"/>
    <mergeCell ref="B21:B28"/>
    <mergeCell ref="A29:A32"/>
    <mergeCell ref="B29:B32"/>
    <mergeCell ref="A57:A60"/>
    <mergeCell ref="B57:B60"/>
    <mergeCell ref="A38:A41"/>
    <mergeCell ref="B38:B41"/>
    <mergeCell ref="A42:A44"/>
    <mergeCell ref="B42:B44"/>
    <mergeCell ref="A45:A49"/>
    <mergeCell ref="A33:A37"/>
    <mergeCell ref="A53:A56"/>
    <mergeCell ref="B53:B56"/>
    <mergeCell ref="B33:B37"/>
    <mergeCell ref="B45:B49"/>
    <mergeCell ref="A50:A52"/>
    <mergeCell ref="B50:B52"/>
  </mergeCells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60"/>
  <sheetViews>
    <sheetView workbookViewId="0">
      <selection sqref="A1:IV65536"/>
    </sheetView>
  </sheetViews>
  <sheetFormatPr defaultRowHeight="11.25" customHeight="1" x14ac:dyDescent="0.15"/>
  <cols>
    <col min="1" max="1" width="4.625" style="3" customWidth="1"/>
    <col min="2" max="2" width="18.625" style="2" customWidth="1"/>
    <col min="3" max="3" width="1.375" style="2" customWidth="1"/>
    <col min="4" max="4" width="40.625" style="1" customWidth="1"/>
    <col min="5" max="16384" width="9" style="1"/>
  </cols>
  <sheetData>
    <row r="1" spans="1:4" ht="11.25" customHeight="1" x14ac:dyDescent="0.15">
      <c r="A1" s="145" t="s">
        <v>70</v>
      </c>
      <c r="B1" s="146"/>
      <c r="C1" s="146"/>
      <c r="D1" s="146"/>
    </row>
    <row r="2" spans="1:4" ht="11.25" customHeight="1" x14ac:dyDescent="0.15">
      <c r="A2" s="146"/>
      <c r="B2" s="146"/>
      <c r="C2" s="146"/>
      <c r="D2" s="146"/>
    </row>
    <row r="3" spans="1:4" ht="11.25" customHeight="1" x14ac:dyDescent="0.15">
      <c r="B3" s="3"/>
      <c r="C3" s="3"/>
      <c r="D3" s="3"/>
    </row>
    <row r="4" spans="1:4" ht="11.25" customHeight="1" x14ac:dyDescent="0.15">
      <c r="A4" s="148" t="s">
        <v>69</v>
      </c>
      <c r="B4" s="148"/>
      <c r="C4" s="148"/>
      <c r="D4" s="148"/>
    </row>
    <row r="5" spans="1:4" ht="11.25" customHeight="1" thickBot="1" x14ac:dyDescent="0.2">
      <c r="B5" s="3"/>
      <c r="C5" s="3"/>
    </row>
    <row r="6" spans="1:4" s="12" customFormat="1" ht="11.25" customHeight="1" x14ac:dyDescent="0.15">
      <c r="A6" s="18" t="s">
        <v>68</v>
      </c>
      <c r="B6" s="17" t="s">
        <v>67</v>
      </c>
      <c r="C6" s="17"/>
      <c r="D6" s="16" t="s">
        <v>66</v>
      </c>
    </row>
    <row r="7" spans="1:4" s="12" customFormat="1" ht="11.25" customHeight="1" x14ac:dyDescent="0.15">
      <c r="A7" s="141">
        <v>1</v>
      </c>
      <c r="B7" s="142" t="s">
        <v>65</v>
      </c>
      <c r="C7" s="7">
        <v>1</v>
      </c>
      <c r="D7" s="6" t="s">
        <v>64</v>
      </c>
    </row>
    <row r="8" spans="1:4" s="12" customFormat="1" ht="11.25" customHeight="1" x14ac:dyDescent="0.15">
      <c r="A8" s="137"/>
      <c r="B8" s="138"/>
      <c r="C8" s="7">
        <v>2</v>
      </c>
      <c r="D8" s="6" t="s">
        <v>63</v>
      </c>
    </row>
    <row r="9" spans="1:4" s="12" customFormat="1" ht="11.25" customHeight="1" x14ac:dyDescent="0.15">
      <c r="A9" s="137"/>
      <c r="B9" s="138"/>
      <c r="C9" s="7">
        <v>3</v>
      </c>
      <c r="D9" s="6" t="s">
        <v>62</v>
      </c>
    </row>
    <row r="10" spans="1:4" s="12" customFormat="1" ht="11.25" customHeight="1" x14ac:dyDescent="0.15">
      <c r="A10" s="137"/>
      <c r="B10" s="138"/>
      <c r="C10" s="9">
        <v>4</v>
      </c>
      <c r="D10" s="6" t="s">
        <v>61</v>
      </c>
    </row>
    <row r="11" spans="1:4" s="12" customFormat="1" ht="11.25" customHeight="1" x14ac:dyDescent="0.15">
      <c r="A11" s="137">
        <v>2</v>
      </c>
      <c r="B11" s="138" t="s">
        <v>60</v>
      </c>
      <c r="C11" s="7">
        <v>1</v>
      </c>
      <c r="D11" s="8" t="s">
        <v>59</v>
      </c>
    </row>
    <row r="12" spans="1:4" s="12" customFormat="1" ht="11.25" customHeight="1" x14ac:dyDescent="0.15">
      <c r="A12" s="137"/>
      <c r="B12" s="138"/>
      <c r="C12" s="7">
        <v>2</v>
      </c>
      <c r="D12" s="6" t="s">
        <v>58</v>
      </c>
    </row>
    <row r="13" spans="1:4" s="12" customFormat="1" ht="11.25" customHeight="1" x14ac:dyDescent="0.15">
      <c r="A13" s="137"/>
      <c r="B13" s="138"/>
      <c r="C13" s="9">
        <v>3</v>
      </c>
      <c r="D13" s="15" t="s">
        <v>57</v>
      </c>
    </row>
    <row r="14" spans="1:4" s="12" customFormat="1" ht="11.25" customHeight="1" x14ac:dyDescent="0.15">
      <c r="A14" s="137">
        <v>3</v>
      </c>
      <c r="B14" s="138" t="s">
        <v>56</v>
      </c>
      <c r="C14" s="7">
        <v>1</v>
      </c>
      <c r="D14" s="6" t="s">
        <v>55</v>
      </c>
    </row>
    <row r="15" spans="1:4" s="12" customFormat="1" ht="11.25" customHeight="1" x14ac:dyDescent="0.15">
      <c r="A15" s="137"/>
      <c r="B15" s="138"/>
      <c r="C15" s="7">
        <v>2</v>
      </c>
      <c r="D15" s="6" t="s">
        <v>54</v>
      </c>
    </row>
    <row r="16" spans="1:4" s="12" customFormat="1" ht="11.25" customHeight="1" x14ac:dyDescent="0.15">
      <c r="A16" s="137"/>
      <c r="B16" s="138"/>
      <c r="C16" s="7">
        <v>3</v>
      </c>
      <c r="D16" s="6" t="s">
        <v>53</v>
      </c>
    </row>
    <row r="17" spans="1:4" s="12" customFormat="1" ht="11.25" customHeight="1" x14ac:dyDescent="0.15">
      <c r="A17" s="137"/>
      <c r="B17" s="138"/>
      <c r="C17" s="7">
        <v>4</v>
      </c>
      <c r="D17" s="6" t="s">
        <v>52</v>
      </c>
    </row>
    <row r="18" spans="1:4" s="12" customFormat="1" ht="11.25" customHeight="1" x14ac:dyDescent="0.15">
      <c r="A18" s="137"/>
      <c r="B18" s="138"/>
      <c r="C18" s="7">
        <v>5</v>
      </c>
      <c r="D18" s="6" t="s">
        <v>51</v>
      </c>
    </row>
    <row r="19" spans="1:4" s="12" customFormat="1" ht="11.25" customHeight="1" x14ac:dyDescent="0.15">
      <c r="A19" s="137"/>
      <c r="B19" s="138"/>
      <c r="C19" s="7">
        <v>6</v>
      </c>
      <c r="D19" s="6" t="s">
        <v>50</v>
      </c>
    </row>
    <row r="20" spans="1:4" s="12" customFormat="1" ht="11.25" customHeight="1" x14ac:dyDescent="0.15">
      <c r="A20" s="137"/>
      <c r="B20" s="138"/>
      <c r="C20" s="9">
        <v>7</v>
      </c>
      <c r="D20" s="6" t="s">
        <v>49</v>
      </c>
    </row>
    <row r="21" spans="1:4" s="12" customFormat="1" ht="11.25" customHeight="1" x14ac:dyDescent="0.15">
      <c r="A21" s="137">
        <v>4</v>
      </c>
      <c r="B21" s="138" t="s">
        <v>48</v>
      </c>
      <c r="C21" s="7">
        <v>1</v>
      </c>
      <c r="D21" s="8" t="s">
        <v>47</v>
      </c>
    </row>
    <row r="22" spans="1:4" s="12" customFormat="1" ht="11.25" customHeight="1" x14ac:dyDescent="0.15">
      <c r="A22" s="137"/>
      <c r="B22" s="138"/>
      <c r="C22" s="7">
        <v>2</v>
      </c>
      <c r="D22" s="6" t="s">
        <v>46</v>
      </c>
    </row>
    <row r="23" spans="1:4" s="12" customFormat="1" ht="11.25" customHeight="1" x14ac:dyDescent="0.15">
      <c r="A23" s="137"/>
      <c r="B23" s="138"/>
      <c r="C23" s="7">
        <v>3</v>
      </c>
      <c r="D23" s="6" t="s">
        <v>45</v>
      </c>
    </row>
    <row r="24" spans="1:4" s="12" customFormat="1" ht="11.25" customHeight="1" x14ac:dyDescent="0.15">
      <c r="A24" s="137"/>
      <c r="B24" s="138"/>
      <c r="C24" s="7">
        <v>4</v>
      </c>
      <c r="D24" s="6" t="s">
        <v>44</v>
      </c>
    </row>
    <row r="25" spans="1:4" s="12" customFormat="1" ht="11.25" customHeight="1" x14ac:dyDescent="0.15">
      <c r="A25" s="137"/>
      <c r="B25" s="138"/>
      <c r="C25" s="7">
        <v>5</v>
      </c>
      <c r="D25" s="6" t="s">
        <v>43</v>
      </c>
    </row>
    <row r="26" spans="1:4" s="12" customFormat="1" ht="11.25" customHeight="1" x14ac:dyDescent="0.15">
      <c r="A26" s="137"/>
      <c r="B26" s="138"/>
      <c r="C26" s="7">
        <v>6</v>
      </c>
      <c r="D26" s="6" t="s">
        <v>42</v>
      </c>
    </row>
    <row r="27" spans="1:4" s="12" customFormat="1" ht="11.25" customHeight="1" x14ac:dyDescent="0.15">
      <c r="A27" s="137"/>
      <c r="B27" s="138"/>
      <c r="C27" s="7">
        <v>7</v>
      </c>
      <c r="D27" s="6" t="s">
        <v>41</v>
      </c>
    </row>
    <row r="28" spans="1:4" s="12" customFormat="1" ht="11.25" customHeight="1" x14ac:dyDescent="0.15">
      <c r="A28" s="137"/>
      <c r="B28" s="147"/>
      <c r="C28" s="9">
        <v>8</v>
      </c>
      <c r="D28" s="6" t="s">
        <v>40</v>
      </c>
    </row>
    <row r="29" spans="1:4" s="12" customFormat="1" ht="11.25" customHeight="1" x14ac:dyDescent="0.15">
      <c r="A29" s="137">
        <v>5</v>
      </c>
      <c r="B29" s="138" t="s">
        <v>39</v>
      </c>
      <c r="C29" s="7">
        <v>1</v>
      </c>
      <c r="D29" s="8" t="s">
        <v>38</v>
      </c>
    </row>
    <row r="30" spans="1:4" s="12" customFormat="1" ht="11.25" customHeight="1" x14ac:dyDescent="0.15">
      <c r="A30" s="137"/>
      <c r="B30" s="138"/>
      <c r="C30" s="7">
        <v>2</v>
      </c>
      <c r="D30" s="6" t="s">
        <v>37</v>
      </c>
    </row>
    <row r="31" spans="1:4" s="12" customFormat="1" ht="11.25" customHeight="1" x14ac:dyDescent="0.15">
      <c r="A31" s="137"/>
      <c r="B31" s="138"/>
      <c r="C31" s="7">
        <v>3</v>
      </c>
      <c r="D31" s="6" t="s">
        <v>36</v>
      </c>
    </row>
    <row r="32" spans="1:4" s="12" customFormat="1" ht="11.25" customHeight="1" x14ac:dyDescent="0.15">
      <c r="A32" s="137"/>
      <c r="B32" s="138"/>
      <c r="C32" s="9">
        <v>4</v>
      </c>
      <c r="D32" s="10" t="s">
        <v>35</v>
      </c>
    </row>
    <row r="33" spans="1:4" s="12" customFormat="1" ht="11.25" customHeight="1" x14ac:dyDescent="0.15">
      <c r="A33" s="137">
        <v>6</v>
      </c>
      <c r="B33" s="144" t="s">
        <v>34</v>
      </c>
      <c r="C33" s="14">
        <v>1</v>
      </c>
      <c r="D33" s="8" t="s">
        <v>33</v>
      </c>
    </row>
    <row r="34" spans="1:4" s="12" customFormat="1" ht="11.25" customHeight="1" x14ac:dyDescent="0.15">
      <c r="A34" s="137"/>
      <c r="B34" s="138"/>
      <c r="C34" s="14">
        <v>2</v>
      </c>
      <c r="D34" s="6" t="s">
        <v>32</v>
      </c>
    </row>
    <row r="35" spans="1:4" s="12" customFormat="1" ht="11.25" customHeight="1" x14ac:dyDescent="0.15">
      <c r="A35" s="137"/>
      <c r="B35" s="138"/>
      <c r="C35" s="14">
        <v>3</v>
      </c>
      <c r="D35" s="6" t="s">
        <v>31</v>
      </c>
    </row>
    <row r="36" spans="1:4" s="12" customFormat="1" ht="11.25" customHeight="1" x14ac:dyDescent="0.15">
      <c r="A36" s="137"/>
      <c r="B36" s="138"/>
      <c r="C36" s="14">
        <v>4</v>
      </c>
      <c r="D36" s="6" t="s">
        <v>30</v>
      </c>
    </row>
    <row r="37" spans="1:4" s="12" customFormat="1" ht="11.25" customHeight="1" x14ac:dyDescent="0.15">
      <c r="A37" s="137"/>
      <c r="B37" s="138"/>
      <c r="C37" s="13">
        <v>5</v>
      </c>
      <c r="D37" s="10" t="s">
        <v>29</v>
      </c>
    </row>
    <row r="38" spans="1:4" s="12" customFormat="1" ht="11.25" customHeight="1" x14ac:dyDescent="0.15">
      <c r="A38" s="141">
        <v>7</v>
      </c>
      <c r="B38" s="142" t="s">
        <v>28</v>
      </c>
      <c r="C38" s="7">
        <v>1</v>
      </c>
      <c r="D38" s="6" t="s">
        <v>27</v>
      </c>
    </row>
    <row r="39" spans="1:4" s="12" customFormat="1" ht="11.25" customHeight="1" x14ac:dyDescent="0.15">
      <c r="A39" s="137"/>
      <c r="B39" s="138"/>
      <c r="C39" s="7">
        <v>2</v>
      </c>
      <c r="D39" s="6" t="s">
        <v>26</v>
      </c>
    </row>
    <row r="40" spans="1:4" s="12" customFormat="1" ht="11.25" customHeight="1" x14ac:dyDescent="0.15">
      <c r="A40" s="137"/>
      <c r="B40" s="138"/>
      <c r="C40" s="7">
        <v>3</v>
      </c>
      <c r="D40" s="6" t="s">
        <v>25</v>
      </c>
    </row>
    <row r="41" spans="1:4" s="12" customFormat="1" ht="11.25" customHeight="1" x14ac:dyDescent="0.15">
      <c r="A41" s="137"/>
      <c r="B41" s="138"/>
      <c r="C41" s="9">
        <v>4</v>
      </c>
      <c r="D41" s="10" t="s">
        <v>24</v>
      </c>
    </row>
    <row r="42" spans="1:4" s="12" customFormat="1" ht="11.25" customHeight="1" x14ac:dyDescent="0.15">
      <c r="A42" s="141">
        <v>8</v>
      </c>
      <c r="B42" s="142" t="s">
        <v>23</v>
      </c>
      <c r="C42" s="7">
        <v>1</v>
      </c>
      <c r="D42" s="6" t="s">
        <v>22</v>
      </c>
    </row>
    <row r="43" spans="1:4" s="12" customFormat="1" ht="11.25" customHeight="1" x14ac:dyDescent="0.15">
      <c r="A43" s="141"/>
      <c r="B43" s="142"/>
      <c r="C43" s="7">
        <v>2</v>
      </c>
      <c r="D43" s="6" t="s">
        <v>21</v>
      </c>
    </row>
    <row r="44" spans="1:4" s="12" customFormat="1" ht="11.25" customHeight="1" x14ac:dyDescent="0.15">
      <c r="A44" s="141"/>
      <c r="B44" s="143"/>
      <c r="C44" s="9">
        <v>3</v>
      </c>
      <c r="D44" s="6" t="s">
        <v>20</v>
      </c>
    </row>
    <row r="45" spans="1:4" ht="11.25" customHeight="1" x14ac:dyDescent="0.15">
      <c r="A45" s="141">
        <v>9</v>
      </c>
      <c r="B45" s="138" t="s">
        <v>19</v>
      </c>
      <c r="C45" s="7">
        <v>1</v>
      </c>
      <c r="D45" s="11" t="s">
        <v>18</v>
      </c>
    </row>
    <row r="46" spans="1:4" ht="11.25" customHeight="1" x14ac:dyDescent="0.15">
      <c r="A46" s="137"/>
      <c r="B46" s="138"/>
      <c r="C46" s="7">
        <v>2</v>
      </c>
      <c r="D46" s="6" t="s">
        <v>17</v>
      </c>
    </row>
    <row r="47" spans="1:4" ht="11.25" customHeight="1" x14ac:dyDescent="0.15">
      <c r="A47" s="137"/>
      <c r="B47" s="138"/>
      <c r="C47" s="7">
        <v>3</v>
      </c>
      <c r="D47" s="6" t="s">
        <v>16</v>
      </c>
    </row>
    <row r="48" spans="1:4" ht="11.25" customHeight="1" x14ac:dyDescent="0.15">
      <c r="A48" s="137"/>
      <c r="B48" s="138"/>
      <c r="C48" s="7">
        <v>4</v>
      </c>
      <c r="D48" s="6" t="s">
        <v>15</v>
      </c>
    </row>
    <row r="49" spans="1:4" ht="11.25" customHeight="1" x14ac:dyDescent="0.15">
      <c r="A49" s="137"/>
      <c r="B49" s="138"/>
      <c r="C49" s="9">
        <v>5</v>
      </c>
      <c r="D49" s="10" t="s">
        <v>14</v>
      </c>
    </row>
    <row r="50" spans="1:4" ht="11.25" customHeight="1" x14ac:dyDescent="0.15">
      <c r="A50" s="137">
        <v>10</v>
      </c>
      <c r="B50" s="138" t="s">
        <v>13</v>
      </c>
      <c r="C50" s="7">
        <v>1</v>
      </c>
      <c r="D50" s="8" t="s">
        <v>12</v>
      </c>
    </row>
    <row r="51" spans="1:4" ht="11.25" customHeight="1" x14ac:dyDescent="0.15">
      <c r="A51" s="137"/>
      <c r="B51" s="138"/>
      <c r="C51" s="7">
        <v>2</v>
      </c>
      <c r="D51" s="6" t="s">
        <v>11</v>
      </c>
    </row>
    <row r="52" spans="1:4" ht="11.25" customHeight="1" x14ac:dyDescent="0.15">
      <c r="A52" s="137"/>
      <c r="B52" s="138"/>
      <c r="C52" s="9">
        <v>3</v>
      </c>
      <c r="D52" s="10" t="s">
        <v>10</v>
      </c>
    </row>
    <row r="53" spans="1:4" ht="11.25" customHeight="1" x14ac:dyDescent="0.15">
      <c r="A53" s="137">
        <v>11</v>
      </c>
      <c r="B53" s="138" t="s">
        <v>9</v>
      </c>
      <c r="C53" s="7">
        <v>1</v>
      </c>
      <c r="D53" s="6" t="s">
        <v>8</v>
      </c>
    </row>
    <row r="54" spans="1:4" ht="11.25" customHeight="1" x14ac:dyDescent="0.15">
      <c r="A54" s="137"/>
      <c r="B54" s="138"/>
      <c r="C54" s="7">
        <v>2</v>
      </c>
      <c r="D54" s="6" t="s">
        <v>7</v>
      </c>
    </row>
    <row r="55" spans="1:4" ht="11.25" customHeight="1" x14ac:dyDescent="0.15">
      <c r="A55" s="137"/>
      <c r="B55" s="138"/>
      <c r="C55" s="7">
        <v>3</v>
      </c>
      <c r="D55" s="6" t="s">
        <v>6</v>
      </c>
    </row>
    <row r="56" spans="1:4" ht="11.25" customHeight="1" x14ac:dyDescent="0.15">
      <c r="A56" s="137"/>
      <c r="B56" s="138"/>
      <c r="C56" s="9">
        <v>4</v>
      </c>
      <c r="D56" s="6" t="s">
        <v>5</v>
      </c>
    </row>
    <row r="57" spans="1:4" ht="11.25" customHeight="1" x14ac:dyDescent="0.15">
      <c r="A57" s="137">
        <v>12</v>
      </c>
      <c r="B57" s="138" t="s">
        <v>4</v>
      </c>
      <c r="C57" s="7">
        <v>1</v>
      </c>
      <c r="D57" s="8" t="s">
        <v>3</v>
      </c>
    </row>
    <row r="58" spans="1:4" ht="11.25" customHeight="1" x14ac:dyDescent="0.15">
      <c r="A58" s="137"/>
      <c r="B58" s="138"/>
      <c r="C58" s="7">
        <v>2</v>
      </c>
      <c r="D58" s="6" t="s">
        <v>2</v>
      </c>
    </row>
    <row r="59" spans="1:4" ht="11.25" customHeight="1" x14ac:dyDescent="0.15">
      <c r="A59" s="137"/>
      <c r="B59" s="138"/>
      <c r="C59" s="7">
        <v>3</v>
      </c>
      <c r="D59" s="6" t="s">
        <v>1</v>
      </c>
    </row>
    <row r="60" spans="1:4" ht="11.25" customHeight="1" thickBot="1" x14ac:dyDescent="0.2">
      <c r="A60" s="139"/>
      <c r="B60" s="140"/>
      <c r="C60" s="5">
        <v>4</v>
      </c>
      <c r="D60" s="4" t="s">
        <v>0</v>
      </c>
    </row>
  </sheetData>
  <mergeCells count="26">
    <mergeCell ref="A1:D2"/>
    <mergeCell ref="A4:D4"/>
    <mergeCell ref="A7:A10"/>
    <mergeCell ref="B7:B10"/>
    <mergeCell ref="A29:A32"/>
    <mergeCell ref="B29:B32"/>
    <mergeCell ref="A11:A13"/>
    <mergeCell ref="B11:B13"/>
    <mergeCell ref="A14:A20"/>
    <mergeCell ref="B14:B20"/>
    <mergeCell ref="A21:A28"/>
    <mergeCell ref="B21:B28"/>
    <mergeCell ref="A42:A44"/>
    <mergeCell ref="B42:B44"/>
    <mergeCell ref="A45:A49"/>
    <mergeCell ref="B45:B49"/>
    <mergeCell ref="A33:A37"/>
    <mergeCell ref="B33:B37"/>
    <mergeCell ref="A38:A41"/>
    <mergeCell ref="B38:B41"/>
    <mergeCell ref="A57:A60"/>
    <mergeCell ref="B57:B60"/>
    <mergeCell ref="A50:A52"/>
    <mergeCell ref="B50:B52"/>
    <mergeCell ref="A53:A56"/>
    <mergeCell ref="B53:B56"/>
  </mergeCells>
  <phoneticPr fontId="2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37"/>
  <sheetViews>
    <sheetView view="pageBreakPreview" workbookViewId="0">
      <selection activeCell="F29" sqref="F29"/>
    </sheetView>
  </sheetViews>
  <sheetFormatPr defaultRowHeight="11.25" customHeight="1" x14ac:dyDescent="0.15"/>
  <cols>
    <col min="1" max="1" width="4.625" style="22" customWidth="1"/>
    <col min="2" max="2" width="18.625" style="21" customWidth="1"/>
    <col min="3" max="3" width="40.625" style="20" customWidth="1"/>
    <col min="4" max="16384" width="9" style="20"/>
  </cols>
  <sheetData>
    <row r="1" spans="1:3" ht="11.25" customHeight="1" x14ac:dyDescent="0.15">
      <c r="A1" s="149" t="s">
        <v>224</v>
      </c>
      <c r="B1" s="149"/>
      <c r="C1" s="149"/>
    </row>
    <row r="2" spans="1:3" ht="11.25" customHeight="1" x14ac:dyDescent="0.15">
      <c r="A2" s="149"/>
      <c r="B2" s="149"/>
      <c r="C2" s="149"/>
    </row>
    <row r="3" spans="1:3" ht="11.25" customHeight="1" x14ac:dyDescent="0.15">
      <c r="B3" s="22"/>
      <c r="C3" s="22"/>
    </row>
    <row r="4" spans="1:3" ht="11.25" customHeight="1" x14ac:dyDescent="0.15">
      <c r="A4" s="157" t="s">
        <v>223</v>
      </c>
      <c r="B4" s="157"/>
      <c r="C4" s="157"/>
    </row>
    <row r="5" spans="1:3" ht="11.25" customHeight="1" thickBot="1" x14ac:dyDescent="0.2">
      <c r="B5" s="22"/>
    </row>
    <row r="6" spans="1:3" s="23" customFormat="1" ht="11.25" customHeight="1" x14ac:dyDescent="0.15">
      <c r="A6" s="30" t="s">
        <v>68</v>
      </c>
      <c r="B6" s="29" t="s">
        <v>67</v>
      </c>
      <c r="C6" s="28" t="s">
        <v>66</v>
      </c>
    </row>
    <row r="7" spans="1:3" s="23" customFormat="1" ht="11.25" customHeight="1" x14ac:dyDescent="0.15">
      <c r="A7" s="156">
        <v>1</v>
      </c>
      <c r="B7" s="150" t="s">
        <v>222</v>
      </c>
      <c r="C7" s="27" t="s">
        <v>221</v>
      </c>
    </row>
    <row r="8" spans="1:3" s="23" customFormat="1" ht="11.25" customHeight="1" x14ac:dyDescent="0.15">
      <c r="A8" s="156"/>
      <c r="B8" s="151"/>
      <c r="C8" s="27" t="s">
        <v>220</v>
      </c>
    </row>
    <row r="9" spans="1:3" s="23" customFormat="1" ht="11.25" customHeight="1" x14ac:dyDescent="0.15">
      <c r="A9" s="156"/>
      <c r="B9" s="151"/>
      <c r="C9" s="27" t="s">
        <v>219</v>
      </c>
    </row>
    <row r="10" spans="1:3" s="23" customFormat="1" ht="11.25" customHeight="1" x14ac:dyDescent="0.15">
      <c r="A10" s="156"/>
      <c r="B10" s="151"/>
      <c r="C10" s="27" t="s">
        <v>218</v>
      </c>
    </row>
    <row r="11" spans="1:3" s="23" customFormat="1" ht="11.25" customHeight="1" x14ac:dyDescent="0.15">
      <c r="A11" s="153"/>
      <c r="B11" s="152"/>
      <c r="C11" s="27" t="s">
        <v>217</v>
      </c>
    </row>
    <row r="12" spans="1:3" s="23" customFormat="1" ht="11.25" customHeight="1" x14ac:dyDescent="0.15">
      <c r="A12" s="153">
        <v>2</v>
      </c>
      <c r="B12" s="150" t="s">
        <v>216</v>
      </c>
      <c r="C12" s="26" t="s">
        <v>215</v>
      </c>
    </row>
    <row r="13" spans="1:3" s="23" customFormat="1" ht="11.25" customHeight="1" x14ac:dyDescent="0.15">
      <c r="A13" s="153"/>
      <c r="B13" s="151"/>
      <c r="C13" s="25" t="s">
        <v>214</v>
      </c>
    </row>
    <row r="14" spans="1:3" s="23" customFormat="1" ht="11.25" customHeight="1" x14ac:dyDescent="0.15">
      <c r="A14" s="153"/>
      <c r="B14" s="151"/>
      <c r="C14" s="25" t="s">
        <v>213</v>
      </c>
    </row>
    <row r="15" spans="1:3" s="23" customFormat="1" ht="11.25" customHeight="1" x14ac:dyDescent="0.15">
      <c r="A15" s="153"/>
      <c r="B15" s="151"/>
      <c r="C15" s="25" t="s">
        <v>212</v>
      </c>
    </row>
    <row r="16" spans="1:3" s="23" customFormat="1" ht="11.25" customHeight="1" x14ac:dyDescent="0.15">
      <c r="A16" s="153"/>
      <c r="B16" s="151"/>
      <c r="C16" s="25" t="s">
        <v>211</v>
      </c>
    </row>
    <row r="17" spans="1:3" s="23" customFormat="1" ht="11.25" customHeight="1" x14ac:dyDescent="0.15">
      <c r="A17" s="153"/>
      <c r="B17" s="152"/>
      <c r="C17" s="24" t="s">
        <v>210</v>
      </c>
    </row>
    <row r="18" spans="1:3" s="23" customFormat="1" ht="11.25" customHeight="1" x14ac:dyDescent="0.15">
      <c r="A18" s="153">
        <v>3</v>
      </c>
      <c r="B18" s="154" t="s">
        <v>209</v>
      </c>
      <c r="C18" s="27" t="s">
        <v>208</v>
      </c>
    </row>
    <row r="19" spans="1:3" s="23" customFormat="1" ht="11.25" customHeight="1" x14ac:dyDescent="0.15">
      <c r="A19" s="153"/>
      <c r="B19" s="155"/>
      <c r="C19" s="27" t="s">
        <v>207</v>
      </c>
    </row>
    <row r="20" spans="1:3" s="23" customFormat="1" ht="11.25" customHeight="1" x14ac:dyDescent="0.15">
      <c r="A20" s="153"/>
      <c r="B20" s="155"/>
      <c r="C20" s="27" t="s">
        <v>206</v>
      </c>
    </row>
    <row r="21" spans="1:3" s="23" customFormat="1" ht="11.25" customHeight="1" x14ac:dyDescent="0.15">
      <c r="A21" s="153"/>
      <c r="B21" s="155"/>
      <c r="C21" s="27" t="s">
        <v>205</v>
      </c>
    </row>
    <row r="22" spans="1:3" s="23" customFormat="1" ht="11.25" customHeight="1" x14ac:dyDescent="0.15">
      <c r="A22" s="153"/>
      <c r="B22" s="152"/>
      <c r="C22" s="27" t="s">
        <v>204</v>
      </c>
    </row>
    <row r="23" spans="1:3" s="23" customFormat="1" ht="11.25" customHeight="1" x14ac:dyDescent="0.15">
      <c r="A23" s="153">
        <v>4</v>
      </c>
      <c r="B23" s="150" t="s">
        <v>203</v>
      </c>
      <c r="C23" s="26" t="s">
        <v>202</v>
      </c>
    </row>
    <row r="24" spans="1:3" s="23" customFormat="1" ht="11.25" customHeight="1" x14ac:dyDescent="0.15">
      <c r="A24" s="153"/>
      <c r="B24" s="151"/>
      <c r="C24" s="25" t="s">
        <v>201</v>
      </c>
    </row>
    <row r="25" spans="1:3" s="23" customFormat="1" ht="11.25" customHeight="1" x14ac:dyDescent="0.15">
      <c r="A25" s="153"/>
      <c r="B25" s="151"/>
      <c r="C25" s="25" t="s">
        <v>200</v>
      </c>
    </row>
    <row r="26" spans="1:3" s="23" customFormat="1" ht="11.25" customHeight="1" x14ac:dyDescent="0.15">
      <c r="A26" s="153"/>
      <c r="B26" s="151"/>
      <c r="C26" s="25" t="s">
        <v>199</v>
      </c>
    </row>
    <row r="27" spans="1:3" s="23" customFormat="1" ht="11.25" customHeight="1" x14ac:dyDescent="0.15">
      <c r="A27" s="153"/>
      <c r="B27" s="152"/>
      <c r="C27" s="24" t="s">
        <v>198</v>
      </c>
    </row>
    <row r="28" spans="1:3" s="23" customFormat="1" ht="11.25" customHeight="1" x14ac:dyDescent="0.15">
      <c r="A28" s="153">
        <v>5</v>
      </c>
      <c r="B28" s="158" t="s">
        <v>197</v>
      </c>
      <c r="C28" s="27" t="s">
        <v>196</v>
      </c>
    </row>
    <row r="29" spans="1:3" s="23" customFormat="1" ht="11.25" customHeight="1" x14ac:dyDescent="0.15">
      <c r="A29" s="153"/>
      <c r="B29" s="158"/>
      <c r="C29" s="27" t="s">
        <v>195</v>
      </c>
    </row>
    <row r="30" spans="1:3" s="23" customFormat="1" ht="11.25" customHeight="1" x14ac:dyDescent="0.15">
      <c r="A30" s="153"/>
      <c r="B30" s="158"/>
      <c r="C30" s="27" t="s">
        <v>194</v>
      </c>
    </row>
    <row r="31" spans="1:3" s="23" customFormat="1" ht="11.25" customHeight="1" x14ac:dyDescent="0.15">
      <c r="A31" s="153"/>
      <c r="B31" s="158"/>
      <c r="C31" s="27" t="s">
        <v>193</v>
      </c>
    </row>
    <row r="32" spans="1:3" s="23" customFormat="1" ht="11.25" customHeight="1" x14ac:dyDescent="0.15">
      <c r="A32" s="153"/>
      <c r="B32" s="158"/>
      <c r="C32" s="27" t="s">
        <v>192</v>
      </c>
    </row>
    <row r="33" spans="1:3" s="23" customFormat="1" ht="11.25" customHeight="1" x14ac:dyDescent="0.15">
      <c r="A33" s="153">
        <v>6</v>
      </c>
      <c r="B33" s="158" t="s">
        <v>191</v>
      </c>
      <c r="C33" s="26" t="s">
        <v>190</v>
      </c>
    </row>
    <row r="34" spans="1:3" s="23" customFormat="1" ht="11.25" customHeight="1" x14ac:dyDescent="0.15">
      <c r="A34" s="153"/>
      <c r="B34" s="158"/>
      <c r="C34" s="25" t="s">
        <v>189</v>
      </c>
    </row>
    <row r="35" spans="1:3" s="23" customFormat="1" ht="11.25" customHeight="1" x14ac:dyDescent="0.15">
      <c r="A35" s="153"/>
      <c r="B35" s="158"/>
      <c r="C35" s="25" t="s">
        <v>188</v>
      </c>
    </row>
    <row r="36" spans="1:3" s="23" customFormat="1" ht="11.25" customHeight="1" x14ac:dyDescent="0.15">
      <c r="A36" s="153"/>
      <c r="B36" s="158"/>
      <c r="C36" s="24" t="s">
        <v>187</v>
      </c>
    </row>
    <row r="37" spans="1:3" s="23" customFormat="1" ht="11.25" customHeight="1" x14ac:dyDescent="0.15">
      <c r="A37" s="156">
        <v>7</v>
      </c>
      <c r="B37" s="152" t="s">
        <v>186</v>
      </c>
      <c r="C37" s="27" t="s">
        <v>185</v>
      </c>
    </row>
    <row r="38" spans="1:3" s="23" customFormat="1" ht="11.25" customHeight="1" x14ac:dyDescent="0.15">
      <c r="A38" s="156"/>
      <c r="B38" s="152"/>
      <c r="C38" s="27" t="s">
        <v>184</v>
      </c>
    </row>
    <row r="39" spans="1:3" s="23" customFormat="1" ht="11.25" customHeight="1" x14ac:dyDescent="0.15">
      <c r="A39" s="153"/>
      <c r="B39" s="158"/>
      <c r="C39" s="27" t="s">
        <v>183</v>
      </c>
    </row>
    <row r="40" spans="1:3" s="23" customFormat="1" ht="11.25" customHeight="1" x14ac:dyDescent="0.15">
      <c r="A40" s="153"/>
      <c r="B40" s="158"/>
      <c r="C40" s="27" t="s">
        <v>182</v>
      </c>
    </row>
    <row r="41" spans="1:3" s="23" customFormat="1" ht="11.25" customHeight="1" x14ac:dyDescent="0.15">
      <c r="A41" s="153">
        <v>8</v>
      </c>
      <c r="B41" s="158" t="s">
        <v>181</v>
      </c>
      <c r="C41" s="26" t="s">
        <v>180</v>
      </c>
    </row>
    <row r="42" spans="1:3" s="23" customFormat="1" ht="11.25" customHeight="1" x14ac:dyDescent="0.15">
      <c r="A42" s="153"/>
      <c r="B42" s="158"/>
      <c r="C42" s="25" t="s">
        <v>179</v>
      </c>
    </row>
    <row r="43" spans="1:3" s="23" customFormat="1" ht="11.25" customHeight="1" x14ac:dyDescent="0.15">
      <c r="A43" s="153"/>
      <c r="B43" s="158"/>
      <c r="C43" s="25" t="s">
        <v>178</v>
      </c>
    </row>
    <row r="44" spans="1:3" s="23" customFormat="1" ht="11.25" customHeight="1" x14ac:dyDescent="0.15">
      <c r="A44" s="153"/>
      <c r="B44" s="158"/>
      <c r="C44" s="25" t="s">
        <v>177</v>
      </c>
    </row>
    <row r="45" spans="1:3" s="23" customFormat="1" ht="11.25" customHeight="1" x14ac:dyDescent="0.15">
      <c r="A45" s="153"/>
      <c r="B45" s="158"/>
      <c r="C45" s="24" t="s">
        <v>176</v>
      </c>
    </row>
    <row r="46" spans="1:3" s="23" customFormat="1" ht="11.25" customHeight="1" x14ac:dyDescent="0.15">
      <c r="A46" s="153">
        <v>9</v>
      </c>
      <c r="B46" s="158" t="s">
        <v>175</v>
      </c>
      <c r="C46" s="27" t="s">
        <v>174</v>
      </c>
    </row>
    <row r="47" spans="1:3" s="23" customFormat="1" ht="11.25" customHeight="1" x14ac:dyDescent="0.15">
      <c r="A47" s="153"/>
      <c r="B47" s="158"/>
      <c r="C47" s="27" t="s">
        <v>173</v>
      </c>
    </row>
    <row r="48" spans="1:3" s="23" customFormat="1" ht="11.25" customHeight="1" x14ac:dyDescent="0.15">
      <c r="A48" s="153"/>
      <c r="B48" s="158"/>
      <c r="C48" s="27" t="s">
        <v>172</v>
      </c>
    </row>
    <row r="49" spans="1:3" s="23" customFormat="1" ht="11.25" customHeight="1" x14ac:dyDescent="0.15">
      <c r="A49" s="153"/>
      <c r="B49" s="158"/>
      <c r="C49" s="27" t="s">
        <v>171</v>
      </c>
    </row>
    <row r="50" spans="1:3" s="23" customFormat="1" ht="11.25" customHeight="1" x14ac:dyDescent="0.15">
      <c r="A50" s="153">
        <v>10</v>
      </c>
      <c r="B50" s="158" t="s">
        <v>170</v>
      </c>
      <c r="C50" s="27" t="s">
        <v>169</v>
      </c>
    </row>
    <row r="51" spans="1:3" s="23" customFormat="1" ht="11.25" customHeight="1" x14ac:dyDescent="0.15">
      <c r="A51" s="153"/>
      <c r="B51" s="158"/>
      <c r="C51" s="27" t="s">
        <v>168</v>
      </c>
    </row>
    <row r="52" spans="1:3" s="23" customFormat="1" ht="11.25" customHeight="1" x14ac:dyDescent="0.15">
      <c r="A52" s="153"/>
      <c r="B52" s="158"/>
      <c r="C52" s="27" t="s">
        <v>167</v>
      </c>
    </row>
    <row r="53" spans="1:3" s="23" customFormat="1" ht="11.25" customHeight="1" x14ac:dyDescent="0.15">
      <c r="A53" s="153"/>
      <c r="B53" s="158"/>
      <c r="C53" s="27" t="s">
        <v>166</v>
      </c>
    </row>
    <row r="54" spans="1:3" s="23" customFormat="1" ht="11.25" customHeight="1" x14ac:dyDescent="0.15">
      <c r="A54" s="153"/>
      <c r="B54" s="158"/>
      <c r="C54" s="27" t="s">
        <v>165</v>
      </c>
    </row>
    <row r="55" spans="1:3" s="23" customFormat="1" ht="11.25" customHeight="1" x14ac:dyDescent="0.15">
      <c r="A55" s="153"/>
      <c r="B55" s="158"/>
      <c r="C55" s="27" t="s">
        <v>164</v>
      </c>
    </row>
    <row r="56" spans="1:3" s="23" customFormat="1" ht="11.25" customHeight="1" x14ac:dyDescent="0.15">
      <c r="A56" s="153">
        <v>11</v>
      </c>
      <c r="B56" s="158" t="s">
        <v>163</v>
      </c>
      <c r="C56" s="26" t="s">
        <v>162</v>
      </c>
    </row>
    <row r="57" spans="1:3" s="23" customFormat="1" ht="11.25" customHeight="1" x14ac:dyDescent="0.15">
      <c r="A57" s="153"/>
      <c r="B57" s="158"/>
      <c r="C57" s="25" t="s">
        <v>161</v>
      </c>
    </row>
    <row r="58" spans="1:3" s="23" customFormat="1" ht="11.25" customHeight="1" x14ac:dyDescent="0.15">
      <c r="A58" s="153"/>
      <c r="B58" s="158"/>
      <c r="C58" s="25" t="s">
        <v>160</v>
      </c>
    </row>
    <row r="59" spans="1:3" s="23" customFormat="1" ht="11.25" customHeight="1" x14ac:dyDescent="0.15">
      <c r="A59" s="153"/>
      <c r="B59" s="158"/>
      <c r="C59" s="25" t="s">
        <v>159</v>
      </c>
    </row>
    <row r="60" spans="1:3" s="23" customFormat="1" ht="11.25" customHeight="1" x14ac:dyDescent="0.15">
      <c r="A60" s="153"/>
      <c r="B60" s="158"/>
      <c r="C60" s="25" t="s">
        <v>158</v>
      </c>
    </row>
    <row r="61" spans="1:3" s="23" customFormat="1" ht="11.25" customHeight="1" x14ac:dyDescent="0.15">
      <c r="A61" s="153"/>
      <c r="B61" s="158"/>
      <c r="C61" s="24" t="s">
        <v>157</v>
      </c>
    </row>
    <row r="62" spans="1:3" s="23" customFormat="1" ht="11.25" customHeight="1" x14ac:dyDescent="0.15">
      <c r="A62" s="153">
        <v>12</v>
      </c>
      <c r="B62" s="158" t="s">
        <v>156</v>
      </c>
      <c r="C62" s="26" t="s">
        <v>155</v>
      </c>
    </row>
    <row r="63" spans="1:3" s="23" customFormat="1" ht="11.25" customHeight="1" x14ac:dyDescent="0.15">
      <c r="A63" s="153"/>
      <c r="B63" s="158"/>
      <c r="C63" s="25" t="s">
        <v>154</v>
      </c>
    </row>
    <row r="64" spans="1:3" s="23" customFormat="1" ht="11.25" customHeight="1" x14ac:dyDescent="0.15">
      <c r="A64" s="153"/>
      <c r="B64" s="158"/>
      <c r="C64" s="25" t="s">
        <v>153</v>
      </c>
    </row>
    <row r="65" spans="1:3" s="23" customFormat="1" ht="11.25" customHeight="1" x14ac:dyDescent="0.15">
      <c r="A65" s="153"/>
      <c r="B65" s="158"/>
      <c r="C65" s="25" t="s">
        <v>152</v>
      </c>
    </row>
    <row r="66" spans="1:3" s="23" customFormat="1" ht="11.25" customHeight="1" x14ac:dyDescent="0.15">
      <c r="A66" s="153"/>
      <c r="B66" s="158"/>
      <c r="C66" s="25" t="s">
        <v>151</v>
      </c>
    </row>
    <row r="67" spans="1:3" s="23" customFormat="1" ht="11.25" customHeight="1" x14ac:dyDescent="0.15">
      <c r="A67" s="153"/>
      <c r="B67" s="158"/>
      <c r="C67" s="25" t="s">
        <v>150</v>
      </c>
    </row>
    <row r="68" spans="1:3" s="23" customFormat="1" ht="11.25" customHeight="1" x14ac:dyDescent="0.15">
      <c r="A68" s="153"/>
      <c r="B68" s="158"/>
      <c r="C68" s="24" t="s">
        <v>149</v>
      </c>
    </row>
    <row r="69" spans="1:3" s="23" customFormat="1" ht="11.25" customHeight="1" x14ac:dyDescent="0.15">
      <c r="A69" s="153">
        <v>13</v>
      </c>
      <c r="B69" s="158" t="s">
        <v>148</v>
      </c>
      <c r="C69" s="26" t="s">
        <v>147</v>
      </c>
    </row>
    <row r="70" spans="1:3" s="23" customFormat="1" ht="11.25" customHeight="1" x14ac:dyDescent="0.15">
      <c r="A70" s="153"/>
      <c r="B70" s="158"/>
      <c r="C70" s="25" t="s">
        <v>146</v>
      </c>
    </row>
    <row r="71" spans="1:3" s="23" customFormat="1" ht="11.25" customHeight="1" x14ac:dyDescent="0.15">
      <c r="A71" s="153"/>
      <c r="B71" s="158"/>
      <c r="C71" s="25" t="s">
        <v>145</v>
      </c>
    </row>
    <row r="72" spans="1:3" s="23" customFormat="1" ht="11.25" customHeight="1" x14ac:dyDescent="0.15">
      <c r="A72" s="153"/>
      <c r="B72" s="158"/>
      <c r="C72" s="25" t="s">
        <v>144</v>
      </c>
    </row>
    <row r="73" spans="1:3" s="23" customFormat="1" ht="11.25" customHeight="1" x14ac:dyDescent="0.15">
      <c r="A73" s="153"/>
      <c r="B73" s="158"/>
      <c r="C73" s="24" t="s">
        <v>143</v>
      </c>
    </row>
    <row r="74" spans="1:3" s="23" customFormat="1" ht="11.25" customHeight="1" x14ac:dyDescent="0.15">
      <c r="A74" s="153">
        <v>14</v>
      </c>
      <c r="B74" s="158" t="s">
        <v>142</v>
      </c>
      <c r="C74" s="26" t="s">
        <v>141</v>
      </c>
    </row>
    <row r="75" spans="1:3" s="23" customFormat="1" ht="11.25" customHeight="1" x14ac:dyDescent="0.15">
      <c r="A75" s="153"/>
      <c r="B75" s="158"/>
      <c r="C75" s="25" t="s">
        <v>140</v>
      </c>
    </row>
    <row r="76" spans="1:3" s="23" customFormat="1" ht="11.25" customHeight="1" x14ac:dyDescent="0.15">
      <c r="A76" s="153"/>
      <c r="B76" s="158"/>
      <c r="C76" s="25" t="s">
        <v>139</v>
      </c>
    </row>
    <row r="77" spans="1:3" s="23" customFormat="1" ht="11.25" customHeight="1" x14ac:dyDescent="0.15">
      <c r="A77" s="153"/>
      <c r="B77" s="158"/>
      <c r="C77" s="25" t="s">
        <v>138</v>
      </c>
    </row>
    <row r="78" spans="1:3" s="23" customFormat="1" ht="11.25" customHeight="1" x14ac:dyDescent="0.15">
      <c r="A78" s="153"/>
      <c r="B78" s="158"/>
      <c r="C78" s="24" t="s">
        <v>137</v>
      </c>
    </row>
    <row r="79" spans="1:3" s="23" customFormat="1" ht="11.25" customHeight="1" x14ac:dyDescent="0.15">
      <c r="A79" s="153">
        <v>15</v>
      </c>
      <c r="B79" s="158" t="s">
        <v>136</v>
      </c>
      <c r="C79" s="26" t="s">
        <v>135</v>
      </c>
    </row>
    <row r="80" spans="1:3" s="23" customFormat="1" ht="11.25" customHeight="1" x14ac:dyDescent="0.15">
      <c r="A80" s="153"/>
      <c r="B80" s="158"/>
      <c r="C80" s="25" t="s">
        <v>134</v>
      </c>
    </row>
    <row r="81" spans="1:3" s="23" customFormat="1" ht="11.25" customHeight="1" x14ac:dyDescent="0.15">
      <c r="A81" s="153"/>
      <c r="B81" s="158"/>
      <c r="C81" s="25" t="s">
        <v>133</v>
      </c>
    </row>
    <row r="82" spans="1:3" s="23" customFormat="1" ht="11.25" customHeight="1" x14ac:dyDescent="0.15">
      <c r="A82" s="153"/>
      <c r="B82" s="158"/>
      <c r="C82" s="25" t="s">
        <v>132</v>
      </c>
    </row>
    <row r="83" spans="1:3" s="23" customFormat="1" ht="11.25" customHeight="1" x14ac:dyDescent="0.15">
      <c r="A83" s="153"/>
      <c r="B83" s="158"/>
      <c r="C83" s="24" t="s">
        <v>131</v>
      </c>
    </row>
    <row r="84" spans="1:3" s="23" customFormat="1" ht="11.25" customHeight="1" x14ac:dyDescent="0.15">
      <c r="A84" s="153">
        <v>16</v>
      </c>
      <c r="B84" s="158" t="s">
        <v>130</v>
      </c>
      <c r="C84" s="26" t="s">
        <v>129</v>
      </c>
    </row>
    <row r="85" spans="1:3" s="23" customFormat="1" ht="11.25" customHeight="1" x14ac:dyDescent="0.15">
      <c r="A85" s="153"/>
      <c r="B85" s="158"/>
      <c r="C85" s="25" t="s">
        <v>128</v>
      </c>
    </row>
    <row r="86" spans="1:3" s="23" customFormat="1" ht="11.25" customHeight="1" x14ac:dyDescent="0.15">
      <c r="A86" s="153"/>
      <c r="B86" s="158"/>
      <c r="C86" s="25" t="s">
        <v>127</v>
      </c>
    </row>
    <row r="87" spans="1:3" s="23" customFormat="1" ht="11.25" customHeight="1" x14ac:dyDescent="0.15">
      <c r="A87" s="153"/>
      <c r="B87" s="158"/>
      <c r="C87" s="25" t="s">
        <v>126</v>
      </c>
    </row>
    <row r="88" spans="1:3" s="23" customFormat="1" ht="11.25" customHeight="1" x14ac:dyDescent="0.15">
      <c r="A88" s="153"/>
      <c r="B88" s="158"/>
      <c r="C88" s="25" t="s">
        <v>125</v>
      </c>
    </row>
    <row r="89" spans="1:3" s="23" customFormat="1" ht="11.25" customHeight="1" x14ac:dyDescent="0.15">
      <c r="A89" s="153"/>
      <c r="B89" s="158"/>
      <c r="C89" s="25" t="s">
        <v>124</v>
      </c>
    </row>
    <row r="90" spans="1:3" s="23" customFormat="1" ht="11.25" customHeight="1" x14ac:dyDescent="0.15">
      <c r="A90" s="153"/>
      <c r="B90" s="158"/>
      <c r="C90" s="25" t="s">
        <v>123</v>
      </c>
    </row>
    <row r="91" spans="1:3" s="23" customFormat="1" ht="11.25" customHeight="1" x14ac:dyDescent="0.15">
      <c r="A91" s="153"/>
      <c r="B91" s="158"/>
      <c r="C91" s="25" t="s">
        <v>122</v>
      </c>
    </row>
    <row r="92" spans="1:3" s="23" customFormat="1" ht="11.25" customHeight="1" x14ac:dyDescent="0.15">
      <c r="A92" s="153"/>
      <c r="B92" s="158"/>
      <c r="C92" s="24" t="s">
        <v>121</v>
      </c>
    </row>
    <row r="93" spans="1:3" s="23" customFormat="1" ht="11.25" customHeight="1" x14ac:dyDescent="0.15">
      <c r="A93" s="153">
        <v>17</v>
      </c>
      <c r="B93" s="158" t="s">
        <v>120</v>
      </c>
      <c r="C93" s="26" t="s">
        <v>119</v>
      </c>
    </row>
    <row r="94" spans="1:3" s="23" customFormat="1" ht="11.25" customHeight="1" x14ac:dyDescent="0.15">
      <c r="A94" s="153"/>
      <c r="B94" s="158"/>
      <c r="C94" s="25" t="s">
        <v>118</v>
      </c>
    </row>
    <row r="95" spans="1:3" s="23" customFormat="1" ht="11.25" customHeight="1" x14ac:dyDescent="0.15">
      <c r="A95" s="153"/>
      <c r="B95" s="158"/>
      <c r="C95" s="25" t="s">
        <v>117</v>
      </c>
    </row>
    <row r="96" spans="1:3" s="23" customFormat="1" ht="11.25" customHeight="1" x14ac:dyDescent="0.15">
      <c r="A96" s="153"/>
      <c r="B96" s="158"/>
      <c r="C96" s="25" t="s">
        <v>116</v>
      </c>
    </row>
    <row r="97" spans="1:3" s="23" customFormat="1" ht="11.25" customHeight="1" x14ac:dyDescent="0.15">
      <c r="A97" s="153"/>
      <c r="B97" s="158"/>
      <c r="C97" s="25" t="s">
        <v>115</v>
      </c>
    </row>
    <row r="98" spans="1:3" s="23" customFormat="1" ht="11.25" customHeight="1" x14ac:dyDescent="0.15">
      <c r="A98" s="153"/>
      <c r="B98" s="158"/>
      <c r="C98" s="24" t="s">
        <v>114</v>
      </c>
    </row>
    <row r="99" spans="1:3" s="23" customFormat="1" ht="11.25" customHeight="1" x14ac:dyDescent="0.15">
      <c r="A99" s="153">
        <v>18</v>
      </c>
      <c r="B99" s="158" t="s">
        <v>113</v>
      </c>
      <c r="C99" s="26" t="s">
        <v>112</v>
      </c>
    </row>
    <row r="100" spans="1:3" s="23" customFormat="1" ht="11.25" customHeight="1" x14ac:dyDescent="0.15">
      <c r="A100" s="153"/>
      <c r="B100" s="158"/>
      <c r="C100" s="25" t="s">
        <v>111</v>
      </c>
    </row>
    <row r="101" spans="1:3" s="23" customFormat="1" ht="11.25" customHeight="1" x14ac:dyDescent="0.15">
      <c r="A101" s="153"/>
      <c r="B101" s="158"/>
      <c r="C101" s="25" t="s">
        <v>110</v>
      </c>
    </row>
    <row r="102" spans="1:3" s="23" customFormat="1" ht="11.25" customHeight="1" x14ac:dyDescent="0.15">
      <c r="A102" s="153"/>
      <c r="B102" s="158"/>
      <c r="C102" s="25" t="s">
        <v>109</v>
      </c>
    </row>
    <row r="103" spans="1:3" s="23" customFormat="1" ht="11.25" customHeight="1" x14ac:dyDescent="0.15">
      <c r="A103" s="153"/>
      <c r="B103" s="158"/>
      <c r="C103" s="25" t="s">
        <v>108</v>
      </c>
    </row>
    <row r="104" spans="1:3" s="23" customFormat="1" ht="11.25" customHeight="1" x14ac:dyDescent="0.15">
      <c r="A104" s="153"/>
      <c r="B104" s="158"/>
      <c r="C104" s="25" t="s">
        <v>107</v>
      </c>
    </row>
    <row r="105" spans="1:3" s="23" customFormat="1" ht="11.25" customHeight="1" x14ac:dyDescent="0.15">
      <c r="A105" s="153"/>
      <c r="B105" s="158"/>
      <c r="C105" s="24" t="s">
        <v>106</v>
      </c>
    </row>
    <row r="106" spans="1:3" s="23" customFormat="1" ht="11.25" customHeight="1" x14ac:dyDescent="0.15">
      <c r="A106" s="153">
        <v>19</v>
      </c>
      <c r="B106" s="158" t="s">
        <v>105</v>
      </c>
      <c r="C106" s="26" t="s">
        <v>104</v>
      </c>
    </row>
    <row r="107" spans="1:3" s="23" customFormat="1" ht="11.25" customHeight="1" x14ac:dyDescent="0.15">
      <c r="A107" s="153"/>
      <c r="B107" s="158"/>
      <c r="C107" s="25" t="s">
        <v>103</v>
      </c>
    </row>
    <row r="108" spans="1:3" s="23" customFormat="1" ht="11.25" customHeight="1" x14ac:dyDescent="0.15">
      <c r="A108" s="153"/>
      <c r="B108" s="158"/>
      <c r="C108" s="25" t="s">
        <v>102</v>
      </c>
    </row>
    <row r="109" spans="1:3" s="23" customFormat="1" ht="11.25" customHeight="1" x14ac:dyDescent="0.15">
      <c r="A109" s="153"/>
      <c r="B109" s="158"/>
      <c r="C109" s="25" t="s">
        <v>101</v>
      </c>
    </row>
    <row r="110" spans="1:3" s="23" customFormat="1" ht="11.25" customHeight="1" x14ac:dyDescent="0.15">
      <c r="A110" s="153"/>
      <c r="B110" s="158"/>
      <c r="C110" s="25" t="s">
        <v>100</v>
      </c>
    </row>
    <row r="111" spans="1:3" s="23" customFormat="1" ht="11.25" customHeight="1" x14ac:dyDescent="0.15">
      <c r="A111" s="153"/>
      <c r="B111" s="158"/>
      <c r="C111" s="25" t="s">
        <v>99</v>
      </c>
    </row>
    <row r="112" spans="1:3" s="23" customFormat="1" ht="11.25" customHeight="1" x14ac:dyDescent="0.15">
      <c r="A112" s="153"/>
      <c r="B112" s="158"/>
      <c r="C112" s="24" t="s">
        <v>98</v>
      </c>
    </row>
    <row r="113" spans="1:3" s="23" customFormat="1" ht="11.25" customHeight="1" x14ac:dyDescent="0.15">
      <c r="A113" s="153">
        <v>20</v>
      </c>
      <c r="B113" s="158" t="s">
        <v>97</v>
      </c>
      <c r="C113" s="26" t="s">
        <v>96</v>
      </c>
    </row>
    <row r="114" spans="1:3" s="23" customFormat="1" ht="11.25" customHeight="1" x14ac:dyDescent="0.15">
      <c r="A114" s="153"/>
      <c r="B114" s="158"/>
      <c r="C114" s="25" t="s">
        <v>95</v>
      </c>
    </row>
    <row r="115" spans="1:3" s="23" customFormat="1" ht="11.25" customHeight="1" x14ac:dyDescent="0.15">
      <c r="A115" s="153"/>
      <c r="B115" s="158"/>
      <c r="C115" s="25" t="s">
        <v>94</v>
      </c>
    </row>
    <row r="116" spans="1:3" s="23" customFormat="1" ht="11.25" customHeight="1" x14ac:dyDescent="0.15">
      <c r="A116" s="153"/>
      <c r="B116" s="158"/>
      <c r="C116" s="24" t="s">
        <v>93</v>
      </c>
    </row>
    <row r="117" spans="1:3" s="23" customFormat="1" ht="11.25" customHeight="1" x14ac:dyDescent="0.15">
      <c r="A117" s="153">
        <v>21</v>
      </c>
      <c r="B117" s="158" t="s">
        <v>92</v>
      </c>
      <c r="C117" s="26" t="s">
        <v>91</v>
      </c>
    </row>
    <row r="118" spans="1:3" s="23" customFormat="1" ht="11.25" customHeight="1" x14ac:dyDescent="0.15">
      <c r="A118" s="153"/>
      <c r="B118" s="158"/>
      <c r="C118" s="25" t="s">
        <v>90</v>
      </c>
    </row>
    <row r="119" spans="1:3" s="23" customFormat="1" ht="11.25" customHeight="1" x14ac:dyDescent="0.15">
      <c r="A119" s="153"/>
      <c r="B119" s="158"/>
      <c r="C119" s="25" t="s">
        <v>89</v>
      </c>
    </row>
    <row r="120" spans="1:3" s="23" customFormat="1" ht="11.25" customHeight="1" x14ac:dyDescent="0.15">
      <c r="A120" s="153"/>
      <c r="B120" s="158"/>
      <c r="C120" s="25" t="s">
        <v>88</v>
      </c>
    </row>
    <row r="121" spans="1:3" s="23" customFormat="1" ht="11.25" customHeight="1" x14ac:dyDescent="0.15">
      <c r="A121" s="153"/>
      <c r="B121" s="158"/>
      <c r="C121" s="25" t="s">
        <v>87</v>
      </c>
    </row>
    <row r="122" spans="1:3" s="23" customFormat="1" ht="11.25" customHeight="1" x14ac:dyDescent="0.15">
      <c r="A122" s="153"/>
      <c r="B122" s="158"/>
      <c r="C122" s="24" t="s">
        <v>86</v>
      </c>
    </row>
    <row r="123" spans="1:3" s="23" customFormat="1" ht="11.25" customHeight="1" x14ac:dyDescent="0.15">
      <c r="A123" s="153">
        <v>22</v>
      </c>
      <c r="B123" s="158" t="s">
        <v>85</v>
      </c>
      <c r="C123" s="26" t="s">
        <v>84</v>
      </c>
    </row>
    <row r="124" spans="1:3" s="23" customFormat="1" ht="11.25" customHeight="1" x14ac:dyDescent="0.15">
      <c r="A124" s="153"/>
      <c r="B124" s="158"/>
      <c r="C124" s="25" t="s">
        <v>83</v>
      </c>
    </row>
    <row r="125" spans="1:3" s="23" customFormat="1" ht="11.25" customHeight="1" x14ac:dyDescent="0.15">
      <c r="A125" s="153"/>
      <c r="B125" s="158"/>
      <c r="C125" s="25" t="s">
        <v>82</v>
      </c>
    </row>
    <row r="126" spans="1:3" s="23" customFormat="1" ht="11.25" customHeight="1" x14ac:dyDescent="0.15">
      <c r="A126" s="153"/>
      <c r="B126" s="158"/>
      <c r="C126" s="24" t="s">
        <v>81</v>
      </c>
    </row>
    <row r="127" spans="1:3" s="23" customFormat="1" ht="11.25" customHeight="1" x14ac:dyDescent="0.15">
      <c r="A127" s="153">
        <v>23</v>
      </c>
      <c r="B127" s="158" t="s">
        <v>80</v>
      </c>
      <c r="C127" s="26" t="s">
        <v>79</v>
      </c>
    </row>
    <row r="128" spans="1:3" s="23" customFormat="1" ht="11.25" customHeight="1" x14ac:dyDescent="0.15">
      <c r="A128" s="153"/>
      <c r="B128" s="158"/>
      <c r="C128" s="25" t="s">
        <v>78</v>
      </c>
    </row>
    <row r="129" spans="1:3" s="23" customFormat="1" ht="11.25" customHeight="1" x14ac:dyDescent="0.15">
      <c r="A129" s="153"/>
      <c r="B129" s="158"/>
      <c r="C129" s="24" t="s">
        <v>77</v>
      </c>
    </row>
    <row r="130" spans="1:3" s="23" customFormat="1" ht="11.25" customHeight="1" x14ac:dyDescent="0.15">
      <c r="A130" s="153">
        <v>24</v>
      </c>
      <c r="B130" s="158" t="s">
        <v>76</v>
      </c>
      <c r="C130" s="26" t="s">
        <v>75</v>
      </c>
    </row>
    <row r="131" spans="1:3" s="23" customFormat="1" ht="11.25" customHeight="1" x14ac:dyDescent="0.15">
      <c r="A131" s="153"/>
      <c r="B131" s="158"/>
      <c r="C131" s="25" t="s">
        <v>74</v>
      </c>
    </row>
    <row r="132" spans="1:3" s="23" customFormat="1" ht="11.25" customHeight="1" x14ac:dyDescent="0.15">
      <c r="A132" s="153"/>
      <c r="B132" s="158"/>
      <c r="C132" s="25" t="s">
        <v>73</v>
      </c>
    </row>
    <row r="133" spans="1:3" s="23" customFormat="1" ht="11.25" customHeight="1" x14ac:dyDescent="0.15">
      <c r="A133" s="153"/>
      <c r="B133" s="158"/>
      <c r="C133" s="25" t="s">
        <v>72</v>
      </c>
    </row>
    <row r="134" spans="1:3" s="23" customFormat="1" ht="11.25" customHeight="1" x14ac:dyDescent="0.15">
      <c r="A134" s="153"/>
      <c r="B134" s="158"/>
      <c r="C134" s="24" t="s">
        <v>71</v>
      </c>
    </row>
    <row r="135" spans="1:3" s="23" customFormat="1" ht="11.25" customHeight="1" x14ac:dyDescent="0.15">
      <c r="A135" s="153">
        <v>25</v>
      </c>
      <c r="B135" s="158"/>
      <c r="C135" s="26"/>
    </row>
    <row r="136" spans="1:3" s="23" customFormat="1" ht="11.25" customHeight="1" x14ac:dyDescent="0.15">
      <c r="A136" s="153"/>
      <c r="B136" s="158"/>
      <c r="C136" s="25"/>
    </row>
    <row r="137" spans="1:3" s="23" customFormat="1" ht="11.25" customHeight="1" x14ac:dyDescent="0.15">
      <c r="A137" s="153"/>
      <c r="B137" s="158"/>
      <c r="C137" s="24"/>
    </row>
  </sheetData>
  <mergeCells count="52">
    <mergeCell ref="A135:A137"/>
    <mergeCell ref="B135:B137"/>
    <mergeCell ref="A127:A129"/>
    <mergeCell ref="B127:B129"/>
    <mergeCell ref="A130:A134"/>
    <mergeCell ref="B130:B134"/>
    <mergeCell ref="A113:A116"/>
    <mergeCell ref="B113:B116"/>
    <mergeCell ref="A123:A126"/>
    <mergeCell ref="B123:B126"/>
    <mergeCell ref="A41:A45"/>
    <mergeCell ref="B41:B45"/>
    <mergeCell ref="A46:A49"/>
    <mergeCell ref="B46:B49"/>
    <mergeCell ref="A93:A98"/>
    <mergeCell ref="B93:B98"/>
    <mergeCell ref="A50:A55"/>
    <mergeCell ref="B50:B55"/>
    <mergeCell ref="A56:A61"/>
    <mergeCell ref="B56:B61"/>
    <mergeCell ref="A106:A112"/>
    <mergeCell ref="B106:B112"/>
    <mergeCell ref="A99:A105"/>
    <mergeCell ref="B99:B105"/>
    <mergeCell ref="B23:B27"/>
    <mergeCell ref="A23:A27"/>
    <mergeCell ref="B28:B32"/>
    <mergeCell ref="A28:A32"/>
    <mergeCell ref="A117:A122"/>
    <mergeCell ref="B117:B122"/>
    <mergeCell ref="A33:A36"/>
    <mergeCell ref="B33:B36"/>
    <mergeCell ref="A37:A40"/>
    <mergeCell ref="B37:B40"/>
    <mergeCell ref="A84:A92"/>
    <mergeCell ref="B84:B92"/>
    <mergeCell ref="A62:A68"/>
    <mergeCell ref="B62:B68"/>
    <mergeCell ref="A69:A73"/>
    <mergeCell ref="B69:B73"/>
    <mergeCell ref="A74:A78"/>
    <mergeCell ref="B74:B78"/>
    <mergeCell ref="A79:A83"/>
    <mergeCell ref="B79:B83"/>
    <mergeCell ref="A1:C2"/>
    <mergeCell ref="B7:B11"/>
    <mergeCell ref="A12:A17"/>
    <mergeCell ref="A18:A22"/>
    <mergeCell ref="B18:B22"/>
    <mergeCell ref="B12:B17"/>
    <mergeCell ref="A7:A11"/>
    <mergeCell ref="A4:C4"/>
  </mergeCells>
  <phoneticPr fontId="2"/>
  <pageMargins left="0.94488188976377963" right="0.94488188976377963" top="0.98425196850393704" bottom="0.98425196850393704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"/>
  <sheetViews>
    <sheetView workbookViewId="0">
      <selection activeCell="B2" sqref="B2"/>
    </sheetView>
  </sheetViews>
  <sheetFormatPr defaultRowHeight="13.5" x14ac:dyDescent="0.15"/>
  <cols>
    <col min="3" max="4" width="10.125" customWidth="1"/>
    <col min="5" max="5" width="22.25" customWidth="1"/>
  </cols>
  <sheetData>
    <row r="1" spans="1:5" s="61" customFormat="1" x14ac:dyDescent="0.15">
      <c r="A1" s="61" t="s">
        <v>404</v>
      </c>
      <c r="B1" s="75" t="s">
        <v>517</v>
      </c>
      <c r="C1" s="61" t="s">
        <v>401</v>
      </c>
      <c r="D1" s="61" t="s">
        <v>403</v>
      </c>
      <c r="E1" s="61" t="s">
        <v>402</v>
      </c>
    </row>
  </sheetData>
  <phoneticPr fontId="17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autoPageBreaks="0"/>
  </sheetPr>
  <dimension ref="A1:G43"/>
  <sheetViews>
    <sheetView zoomScale="85" zoomScaleSheetLayoutView="100" workbookViewId="0">
      <selection activeCell="C30" sqref="C30:G33"/>
    </sheetView>
  </sheetViews>
  <sheetFormatPr defaultRowHeight="14.25" x14ac:dyDescent="0.15"/>
  <cols>
    <col min="1" max="1" width="6.875" style="31" bestFit="1" customWidth="1"/>
    <col min="2" max="2" width="21.25" style="31" customWidth="1"/>
    <col min="3" max="6" width="9" style="31"/>
    <col min="7" max="7" width="43.75" style="31" customWidth="1"/>
    <col min="8" max="16384" width="9" style="31"/>
  </cols>
  <sheetData>
    <row r="1" spans="1:7" x14ac:dyDescent="0.15">
      <c r="A1" s="167" t="s">
        <v>279</v>
      </c>
      <c r="B1" s="168"/>
      <c r="C1" s="168"/>
      <c r="D1" s="168"/>
      <c r="E1" s="168"/>
      <c r="F1" s="168"/>
      <c r="G1" s="169"/>
    </row>
    <row r="2" spans="1:7" x14ac:dyDescent="0.15">
      <c r="A2" s="170"/>
      <c r="B2" s="171"/>
      <c r="C2" s="171"/>
      <c r="D2" s="171"/>
      <c r="E2" s="171"/>
      <c r="F2" s="171"/>
      <c r="G2" s="172"/>
    </row>
    <row r="3" spans="1:7" x14ac:dyDescent="0.15">
      <c r="A3" s="170"/>
      <c r="B3" s="171"/>
      <c r="C3" s="171"/>
      <c r="D3" s="171"/>
      <c r="E3" s="171"/>
      <c r="F3" s="171"/>
      <c r="G3" s="172"/>
    </row>
    <row r="4" spans="1:7" x14ac:dyDescent="0.15">
      <c r="A4" s="173"/>
      <c r="B4" s="174"/>
      <c r="C4" s="174"/>
      <c r="D4" s="174"/>
      <c r="E4" s="174"/>
      <c r="F4" s="174"/>
      <c r="G4" s="175"/>
    </row>
    <row r="5" spans="1:7" s="33" customFormat="1" x14ac:dyDescent="0.15">
      <c r="A5" s="34" t="s">
        <v>278</v>
      </c>
      <c r="B5" s="34" t="s">
        <v>277</v>
      </c>
      <c r="C5" s="176" t="s">
        <v>276</v>
      </c>
      <c r="D5" s="176"/>
      <c r="E5" s="176"/>
      <c r="F5" s="176"/>
      <c r="G5" s="176"/>
    </row>
    <row r="6" spans="1:7" s="32" customFormat="1" x14ac:dyDescent="0.15">
      <c r="A6" s="160" t="s">
        <v>275</v>
      </c>
      <c r="B6" s="163" t="s">
        <v>274</v>
      </c>
      <c r="C6" s="159" t="s">
        <v>273</v>
      </c>
      <c r="D6" s="159"/>
      <c r="E6" s="159"/>
      <c r="F6" s="159"/>
      <c r="G6" s="159"/>
    </row>
    <row r="7" spans="1:7" s="32" customFormat="1" x14ac:dyDescent="0.15">
      <c r="A7" s="161"/>
      <c r="B7" s="163"/>
      <c r="C7" s="159" t="s">
        <v>272</v>
      </c>
      <c r="D7" s="159"/>
      <c r="E7" s="159"/>
      <c r="F7" s="159"/>
      <c r="G7" s="159"/>
    </row>
    <row r="8" spans="1:7" s="32" customFormat="1" x14ac:dyDescent="0.15">
      <c r="A8" s="161"/>
      <c r="B8" s="163"/>
      <c r="C8" s="159" t="s">
        <v>271</v>
      </c>
      <c r="D8" s="159"/>
      <c r="E8" s="159"/>
      <c r="F8" s="159"/>
      <c r="G8" s="159"/>
    </row>
    <row r="9" spans="1:7" s="32" customFormat="1" x14ac:dyDescent="0.15">
      <c r="A9" s="161"/>
      <c r="B9" s="177"/>
      <c r="C9" s="159" t="s">
        <v>270</v>
      </c>
      <c r="D9" s="159"/>
      <c r="E9" s="159"/>
      <c r="F9" s="159"/>
      <c r="G9" s="159"/>
    </row>
    <row r="10" spans="1:7" s="32" customFormat="1" x14ac:dyDescent="0.15">
      <c r="A10" s="161" t="s">
        <v>269</v>
      </c>
      <c r="B10" s="177" t="s">
        <v>268</v>
      </c>
      <c r="C10" s="159" t="s">
        <v>267</v>
      </c>
      <c r="D10" s="159"/>
      <c r="E10" s="159"/>
      <c r="F10" s="159"/>
      <c r="G10" s="159"/>
    </row>
    <row r="11" spans="1:7" s="32" customFormat="1" x14ac:dyDescent="0.15">
      <c r="A11" s="161"/>
      <c r="B11" s="177"/>
      <c r="C11" s="159" t="s">
        <v>266</v>
      </c>
      <c r="D11" s="159"/>
      <c r="E11" s="159"/>
      <c r="F11" s="159"/>
      <c r="G11" s="159"/>
    </row>
    <row r="12" spans="1:7" s="32" customFormat="1" x14ac:dyDescent="0.15">
      <c r="A12" s="161"/>
      <c r="B12" s="177"/>
      <c r="C12" s="159" t="s">
        <v>265</v>
      </c>
      <c r="D12" s="159"/>
      <c r="E12" s="159"/>
      <c r="F12" s="159"/>
      <c r="G12" s="159"/>
    </row>
    <row r="13" spans="1:7" s="32" customFormat="1" x14ac:dyDescent="0.15">
      <c r="A13" s="160"/>
      <c r="B13" s="163"/>
      <c r="C13" s="159" t="s">
        <v>264</v>
      </c>
      <c r="D13" s="159"/>
      <c r="E13" s="159"/>
      <c r="F13" s="159"/>
      <c r="G13" s="159"/>
    </row>
    <row r="14" spans="1:7" s="32" customFormat="1" x14ac:dyDescent="0.15">
      <c r="A14" s="160"/>
      <c r="B14" s="163"/>
      <c r="C14" s="159" t="s">
        <v>263</v>
      </c>
      <c r="D14" s="159"/>
      <c r="E14" s="159"/>
      <c r="F14" s="159"/>
      <c r="G14" s="159"/>
    </row>
    <row r="15" spans="1:7" s="32" customFormat="1" x14ac:dyDescent="0.15">
      <c r="A15" s="160"/>
      <c r="B15" s="163"/>
      <c r="C15" s="159" t="s">
        <v>262</v>
      </c>
      <c r="D15" s="159"/>
      <c r="E15" s="159"/>
      <c r="F15" s="159"/>
      <c r="G15" s="159"/>
    </row>
    <row r="16" spans="1:7" s="32" customFormat="1" x14ac:dyDescent="0.15">
      <c r="A16" s="160" t="s">
        <v>261</v>
      </c>
      <c r="B16" s="163" t="s">
        <v>261</v>
      </c>
      <c r="C16" s="159" t="s">
        <v>260</v>
      </c>
      <c r="D16" s="159"/>
      <c r="E16" s="159"/>
      <c r="F16" s="159"/>
      <c r="G16" s="159"/>
    </row>
    <row r="17" spans="1:7" s="32" customFormat="1" x14ac:dyDescent="0.15">
      <c r="A17" s="160"/>
      <c r="B17" s="163"/>
      <c r="C17" s="159" t="s">
        <v>259</v>
      </c>
      <c r="D17" s="159"/>
      <c r="E17" s="159"/>
      <c r="F17" s="159"/>
      <c r="G17" s="159"/>
    </row>
    <row r="18" spans="1:7" s="32" customFormat="1" x14ac:dyDescent="0.15">
      <c r="A18" s="160"/>
      <c r="B18" s="163"/>
      <c r="C18" s="159" t="s">
        <v>258</v>
      </c>
      <c r="D18" s="159"/>
      <c r="E18" s="159"/>
      <c r="F18" s="159"/>
      <c r="G18" s="159"/>
    </row>
    <row r="19" spans="1:7" s="32" customFormat="1" x14ac:dyDescent="0.15">
      <c r="A19" s="160"/>
      <c r="B19" s="177"/>
      <c r="C19" s="159" t="s">
        <v>257</v>
      </c>
      <c r="D19" s="159"/>
      <c r="E19" s="159"/>
      <c r="F19" s="159"/>
      <c r="G19" s="159"/>
    </row>
    <row r="20" spans="1:7" s="32" customFormat="1" x14ac:dyDescent="0.15">
      <c r="A20" s="160"/>
      <c r="B20" s="163"/>
      <c r="C20" s="159" t="s">
        <v>256</v>
      </c>
      <c r="D20" s="159"/>
      <c r="E20" s="159"/>
      <c r="F20" s="159"/>
      <c r="G20" s="159"/>
    </row>
    <row r="21" spans="1:7" s="32" customFormat="1" x14ac:dyDescent="0.15">
      <c r="A21" s="160"/>
      <c r="B21" s="163"/>
      <c r="C21" s="159" t="s">
        <v>255</v>
      </c>
      <c r="D21" s="159"/>
      <c r="E21" s="159"/>
      <c r="F21" s="159"/>
      <c r="G21" s="159"/>
    </row>
    <row r="22" spans="1:7" s="32" customFormat="1" x14ac:dyDescent="0.15">
      <c r="A22" s="160"/>
      <c r="B22" s="163"/>
      <c r="C22" s="159" t="s">
        <v>254</v>
      </c>
      <c r="D22" s="159"/>
      <c r="E22" s="159"/>
      <c r="F22" s="159"/>
      <c r="G22" s="159"/>
    </row>
    <row r="23" spans="1:7" s="32" customFormat="1" x14ac:dyDescent="0.15">
      <c r="A23" s="160" t="s">
        <v>253</v>
      </c>
      <c r="B23" s="163" t="s">
        <v>252</v>
      </c>
      <c r="C23" s="159" t="s">
        <v>282</v>
      </c>
      <c r="D23" s="159"/>
      <c r="E23" s="159"/>
      <c r="F23" s="159"/>
      <c r="G23" s="159"/>
    </row>
    <row r="24" spans="1:7" s="32" customFormat="1" x14ac:dyDescent="0.15">
      <c r="A24" s="160"/>
      <c r="B24" s="163"/>
      <c r="C24" s="159" t="s">
        <v>251</v>
      </c>
      <c r="D24" s="159"/>
      <c r="E24" s="159"/>
      <c r="F24" s="159"/>
      <c r="G24" s="159"/>
    </row>
    <row r="25" spans="1:7" s="32" customFormat="1" x14ac:dyDescent="0.15">
      <c r="A25" s="161"/>
      <c r="B25" s="163"/>
      <c r="C25" s="159" t="s">
        <v>250</v>
      </c>
      <c r="D25" s="159"/>
      <c r="E25" s="159"/>
      <c r="F25" s="159"/>
      <c r="G25" s="159"/>
    </row>
    <row r="26" spans="1:7" s="32" customFormat="1" x14ac:dyDescent="0.15">
      <c r="A26" s="160"/>
      <c r="B26" s="163"/>
      <c r="C26" s="159" t="s">
        <v>249</v>
      </c>
      <c r="D26" s="159"/>
      <c r="E26" s="159"/>
      <c r="F26" s="159"/>
      <c r="G26" s="159"/>
    </row>
    <row r="27" spans="1:7" s="32" customFormat="1" x14ac:dyDescent="0.15">
      <c r="A27" s="160"/>
      <c r="B27" s="163"/>
      <c r="C27" s="159" t="s">
        <v>248</v>
      </c>
      <c r="D27" s="159"/>
      <c r="E27" s="159"/>
      <c r="F27" s="159"/>
      <c r="G27" s="159"/>
    </row>
    <row r="28" spans="1:7" s="32" customFormat="1" x14ac:dyDescent="0.15">
      <c r="A28" s="160" t="s">
        <v>247</v>
      </c>
      <c r="B28" s="160" t="s">
        <v>246</v>
      </c>
      <c r="C28" s="159" t="s">
        <v>245</v>
      </c>
      <c r="D28" s="159"/>
      <c r="E28" s="159"/>
      <c r="F28" s="159"/>
      <c r="G28" s="159"/>
    </row>
    <row r="29" spans="1:7" s="32" customFormat="1" x14ac:dyDescent="0.15">
      <c r="A29" s="160"/>
      <c r="B29" s="160"/>
      <c r="C29" s="159" t="s">
        <v>244</v>
      </c>
      <c r="D29" s="159"/>
      <c r="E29" s="159"/>
      <c r="F29" s="159"/>
      <c r="G29" s="159"/>
    </row>
    <row r="30" spans="1:7" s="32" customFormat="1" x14ac:dyDescent="0.15">
      <c r="A30" s="160"/>
      <c r="B30" s="160" t="s">
        <v>243</v>
      </c>
      <c r="C30" s="159" t="s">
        <v>242</v>
      </c>
      <c r="D30" s="159"/>
      <c r="E30" s="159"/>
      <c r="F30" s="159"/>
      <c r="G30" s="159"/>
    </row>
    <row r="31" spans="1:7" s="32" customFormat="1" x14ac:dyDescent="0.15">
      <c r="A31" s="160"/>
      <c r="B31" s="160"/>
      <c r="C31" s="159" t="s">
        <v>241</v>
      </c>
      <c r="D31" s="159"/>
      <c r="E31" s="159"/>
      <c r="F31" s="159"/>
      <c r="G31" s="159"/>
    </row>
    <row r="32" spans="1:7" s="32" customFormat="1" x14ac:dyDescent="0.15">
      <c r="A32" s="160"/>
      <c r="B32" s="160"/>
      <c r="C32" s="159" t="s">
        <v>240</v>
      </c>
      <c r="D32" s="159"/>
      <c r="E32" s="159"/>
      <c r="F32" s="159"/>
      <c r="G32" s="159"/>
    </row>
    <row r="33" spans="1:7" s="32" customFormat="1" x14ac:dyDescent="0.15">
      <c r="A33" s="160"/>
      <c r="B33" s="160"/>
      <c r="C33" s="159" t="s">
        <v>239</v>
      </c>
      <c r="D33" s="159"/>
      <c r="E33" s="159"/>
      <c r="F33" s="159"/>
      <c r="G33" s="159"/>
    </row>
    <row r="34" spans="1:7" s="32" customFormat="1" x14ac:dyDescent="0.15">
      <c r="A34" s="161"/>
      <c r="B34" s="161"/>
      <c r="C34" s="166" t="s">
        <v>238</v>
      </c>
      <c r="D34" s="166"/>
      <c r="E34" s="166"/>
      <c r="F34" s="166"/>
      <c r="G34" s="166"/>
    </row>
    <row r="35" spans="1:7" s="32" customFormat="1" x14ac:dyDescent="0.15">
      <c r="A35" s="160" t="s">
        <v>237</v>
      </c>
      <c r="B35" s="163" t="s">
        <v>236</v>
      </c>
      <c r="C35" s="159" t="s">
        <v>235</v>
      </c>
      <c r="D35" s="159"/>
      <c r="E35" s="159"/>
      <c r="F35" s="159"/>
      <c r="G35" s="159"/>
    </row>
    <row r="36" spans="1:7" s="32" customFormat="1" x14ac:dyDescent="0.15">
      <c r="A36" s="160"/>
      <c r="B36" s="163"/>
      <c r="C36" s="159" t="s">
        <v>234</v>
      </c>
      <c r="D36" s="159"/>
      <c r="E36" s="159"/>
      <c r="F36" s="159"/>
      <c r="G36" s="159"/>
    </row>
    <row r="37" spans="1:7" s="32" customFormat="1" x14ac:dyDescent="0.15">
      <c r="A37" s="160"/>
      <c r="B37" s="163"/>
      <c r="C37" s="159" t="s">
        <v>233</v>
      </c>
      <c r="D37" s="159"/>
      <c r="E37" s="159"/>
      <c r="F37" s="159"/>
      <c r="G37" s="159"/>
    </row>
    <row r="38" spans="1:7" s="32" customFormat="1" x14ac:dyDescent="0.15">
      <c r="A38" s="160"/>
      <c r="B38" s="163"/>
      <c r="C38" s="159" t="s">
        <v>232</v>
      </c>
      <c r="D38" s="159"/>
      <c r="E38" s="159"/>
      <c r="F38" s="159"/>
      <c r="G38" s="159"/>
    </row>
    <row r="39" spans="1:7" s="32" customFormat="1" x14ac:dyDescent="0.15">
      <c r="A39" s="160"/>
      <c r="B39" s="163"/>
      <c r="C39" s="159" t="s">
        <v>231</v>
      </c>
      <c r="D39" s="159"/>
      <c r="E39" s="159"/>
      <c r="F39" s="159"/>
      <c r="G39" s="159"/>
    </row>
    <row r="40" spans="1:7" s="32" customFormat="1" x14ac:dyDescent="0.15">
      <c r="A40" s="160"/>
      <c r="B40" s="163"/>
      <c r="C40" s="159" t="s">
        <v>230</v>
      </c>
      <c r="D40" s="159"/>
      <c r="E40" s="159"/>
      <c r="F40" s="159"/>
      <c r="G40" s="159"/>
    </row>
    <row r="41" spans="1:7" s="32" customFormat="1" x14ac:dyDescent="0.15">
      <c r="A41" s="160"/>
      <c r="B41" s="163"/>
      <c r="C41" s="165" t="s">
        <v>229</v>
      </c>
      <c r="D41" s="165"/>
      <c r="E41" s="165"/>
      <c r="F41" s="165"/>
      <c r="G41" s="165"/>
    </row>
    <row r="42" spans="1:7" s="32" customFormat="1" x14ac:dyDescent="0.15">
      <c r="A42" s="160"/>
      <c r="B42" s="163"/>
      <c r="C42" s="159" t="s">
        <v>228</v>
      </c>
      <c r="D42" s="159"/>
      <c r="E42" s="159"/>
      <c r="F42" s="159"/>
      <c r="G42" s="159"/>
    </row>
    <row r="43" spans="1:7" s="32" customFormat="1" x14ac:dyDescent="0.15">
      <c r="A43" s="162"/>
      <c r="B43" s="164"/>
      <c r="C43" s="159" t="s">
        <v>227</v>
      </c>
      <c r="D43" s="159"/>
      <c r="E43" s="159"/>
      <c r="F43" s="159"/>
      <c r="G43" s="159"/>
    </row>
  </sheetData>
  <mergeCells count="53">
    <mergeCell ref="C10:G10"/>
    <mergeCell ref="C11:G11"/>
    <mergeCell ref="C12:G12"/>
    <mergeCell ref="A10:A15"/>
    <mergeCell ref="B16:B22"/>
    <mergeCell ref="A16:A22"/>
    <mergeCell ref="C21:G21"/>
    <mergeCell ref="C22:G22"/>
    <mergeCell ref="C17:G17"/>
    <mergeCell ref="C18:G18"/>
    <mergeCell ref="C19:G19"/>
    <mergeCell ref="C20:G20"/>
    <mergeCell ref="B10:B15"/>
    <mergeCell ref="C13:G13"/>
    <mergeCell ref="A1:G4"/>
    <mergeCell ref="C5:G5"/>
    <mergeCell ref="C6:G6"/>
    <mergeCell ref="C7:G7"/>
    <mergeCell ref="A6:A9"/>
    <mergeCell ref="C8:G8"/>
    <mergeCell ref="C9:G9"/>
    <mergeCell ref="B6:B9"/>
    <mergeCell ref="B30:B34"/>
    <mergeCell ref="C24:G24"/>
    <mergeCell ref="B23:B27"/>
    <mergeCell ref="C14:G14"/>
    <mergeCell ref="C15:G15"/>
    <mergeCell ref="C26:G26"/>
    <mergeCell ref="C27:G27"/>
    <mergeCell ref="C16:G16"/>
    <mergeCell ref="C30:G30"/>
    <mergeCell ref="C31:G31"/>
    <mergeCell ref="C32:G32"/>
    <mergeCell ref="C23:G23"/>
    <mergeCell ref="C25:G25"/>
    <mergeCell ref="C28:G28"/>
    <mergeCell ref="C29:G29"/>
    <mergeCell ref="C43:G43"/>
    <mergeCell ref="A23:A27"/>
    <mergeCell ref="A35:A43"/>
    <mergeCell ref="B35:B43"/>
    <mergeCell ref="C35:G35"/>
    <mergeCell ref="C36:G36"/>
    <mergeCell ref="C37:G37"/>
    <mergeCell ref="C38:G38"/>
    <mergeCell ref="C39:G39"/>
    <mergeCell ref="C40:G40"/>
    <mergeCell ref="C41:G41"/>
    <mergeCell ref="C42:G42"/>
    <mergeCell ref="C33:G33"/>
    <mergeCell ref="C34:G34"/>
    <mergeCell ref="A28:A34"/>
    <mergeCell ref="B28:B29"/>
  </mergeCells>
  <phoneticPr fontId="2"/>
  <pageMargins left="0.74791666666666667" right="0.74791666666666667" top="0.98402777777777783" bottom="0.98402777777777783" header="0.51180555555555562" footer="0.51180555555555562"/>
  <pageSetup paperSize="9" fitToWidth="0" fitToHeight="0" orientation="portrait" useFirstPageNumber="1" errors="NA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5"/>
  <sheetViews>
    <sheetView zoomScaleNormal="100" workbookViewId="0">
      <selection activeCell="K8" sqref="K8"/>
    </sheetView>
  </sheetViews>
  <sheetFormatPr defaultRowHeight="13.5" x14ac:dyDescent="0.15"/>
  <cols>
    <col min="1" max="1" width="9" style="40"/>
    <col min="2" max="8" width="15.375" style="40" customWidth="1"/>
    <col min="9" max="16384" width="9" style="40"/>
  </cols>
  <sheetData>
    <row r="1" spans="1:11" x14ac:dyDescent="0.15">
      <c r="B1" s="40" t="s">
        <v>408</v>
      </c>
      <c r="C1" s="40" t="s">
        <v>409</v>
      </c>
      <c r="D1" s="40" t="s">
        <v>410</v>
      </c>
      <c r="E1" s="40" t="s">
        <v>411</v>
      </c>
      <c r="F1" s="40" t="s">
        <v>412</v>
      </c>
      <c r="G1" s="40" t="s">
        <v>413</v>
      </c>
      <c r="H1" s="40" t="s">
        <v>414</v>
      </c>
    </row>
    <row r="2" spans="1:11" x14ac:dyDescent="0.15">
      <c r="A2" s="40" t="s">
        <v>428</v>
      </c>
      <c r="B2" s="118"/>
      <c r="C2" s="118"/>
      <c r="D2" s="118"/>
      <c r="E2" s="118"/>
      <c r="F2" s="119">
        <v>40459</v>
      </c>
      <c r="G2" s="118">
        <v>40460</v>
      </c>
      <c r="H2" s="118">
        <v>40461</v>
      </c>
    </row>
    <row r="3" spans="1:11" x14ac:dyDescent="0.15">
      <c r="A3" s="40" t="s">
        <v>415</v>
      </c>
      <c r="B3" s="91">
        <v>40462</v>
      </c>
      <c r="C3" s="91">
        <v>40463</v>
      </c>
      <c r="D3" s="91">
        <v>40464</v>
      </c>
      <c r="E3" s="91">
        <v>40465</v>
      </c>
      <c r="F3" s="91">
        <v>40466</v>
      </c>
      <c r="G3" s="118">
        <v>40467</v>
      </c>
      <c r="H3" s="118">
        <v>40468</v>
      </c>
      <c r="I3" s="40">
        <v>1</v>
      </c>
      <c r="J3" s="40" t="s">
        <v>774</v>
      </c>
    </row>
    <row r="4" spans="1:11" x14ac:dyDescent="0.15">
      <c r="A4" s="40" t="s">
        <v>416</v>
      </c>
      <c r="B4" s="91">
        <v>40469</v>
      </c>
      <c r="C4" s="91">
        <v>40470</v>
      </c>
      <c r="D4" s="91">
        <v>40471</v>
      </c>
      <c r="E4" s="91">
        <v>40472</v>
      </c>
      <c r="F4" s="91">
        <v>40473</v>
      </c>
      <c r="G4" s="118">
        <v>40474</v>
      </c>
      <c r="H4" s="118">
        <v>40475</v>
      </c>
      <c r="I4" s="40">
        <v>2</v>
      </c>
      <c r="J4" s="40" t="s">
        <v>774</v>
      </c>
    </row>
    <row r="5" spans="1:11" x14ac:dyDescent="0.15">
      <c r="A5" s="40" t="s">
        <v>417</v>
      </c>
      <c r="B5" s="91">
        <v>40476</v>
      </c>
      <c r="C5" s="91">
        <v>40477</v>
      </c>
      <c r="D5" s="91">
        <v>40478</v>
      </c>
      <c r="E5" s="91">
        <v>40479</v>
      </c>
      <c r="F5" s="91">
        <v>40480</v>
      </c>
      <c r="G5" s="118">
        <v>40481</v>
      </c>
      <c r="H5" s="118">
        <v>40482</v>
      </c>
      <c r="I5" s="40">
        <v>3</v>
      </c>
      <c r="J5" s="40" t="s">
        <v>774</v>
      </c>
      <c r="K5" s="40">
        <f>3*5*6</f>
        <v>90</v>
      </c>
    </row>
    <row r="6" spans="1:11" x14ac:dyDescent="0.15">
      <c r="A6" s="40" t="s">
        <v>418</v>
      </c>
      <c r="B6" s="91">
        <v>40483</v>
      </c>
      <c r="C6" s="91">
        <v>40484</v>
      </c>
      <c r="D6" s="91">
        <v>40485</v>
      </c>
      <c r="E6" s="91">
        <v>40486</v>
      </c>
      <c r="F6" s="91">
        <v>40487</v>
      </c>
      <c r="G6" s="118">
        <v>40488</v>
      </c>
      <c r="H6" s="118">
        <v>40489</v>
      </c>
      <c r="I6" s="40">
        <v>4</v>
      </c>
      <c r="J6" s="40" t="s">
        <v>775</v>
      </c>
    </row>
    <row r="7" spans="1:11" x14ac:dyDescent="0.15">
      <c r="A7" s="40" t="s">
        <v>419</v>
      </c>
      <c r="B7" s="91">
        <v>40490</v>
      </c>
      <c r="C7" s="91">
        <v>40491</v>
      </c>
      <c r="D7" s="91">
        <v>40492</v>
      </c>
      <c r="E7" s="91">
        <v>40493</v>
      </c>
      <c r="F7" s="91">
        <v>40494</v>
      </c>
      <c r="G7" s="118">
        <v>40495</v>
      </c>
      <c r="H7" s="118">
        <v>40496</v>
      </c>
      <c r="I7" s="40">
        <v>5</v>
      </c>
      <c r="J7" s="40" t="s">
        <v>775</v>
      </c>
      <c r="K7" s="40">
        <f>2*5*6</f>
        <v>60</v>
      </c>
    </row>
    <row r="8" spans="1:11" x14ac:dyDescent="0.15">
      <c r="A8" s="40" t="s">
        <v>420</v>
      </c>
      <c r="B8" s="91">
        <v>40497</v>
      </c>
      <c r="C8" s="91">
        <v>40498</v>
      </c>
      <c r="D8" s="91">
        <v>40499</v>
      </c>
      <c r="E8" s="91">
        <v>40500</v>
      </c>
      <c r="F8" s="91">
        <v>40501</v>
      </c>
      <c r="G8" s="118">
        <v>40502</v>
      </c>
      <c r="H8" s="118">
        <v>40503</v>
      </c>
      <c r="I8" s="40">
        <v>6</v>
      </c>
    </row>
    <row r="9" spans="1:11" x14ac:dyDescent="0.15">
      <c r="A9" s="40" t="s">
        <v>421</v>
      </c>
      <c r="B9" s="91">
        <v>40504</v>
      </c>
      <c r="C9" s="91">
        <v>40505</v>
      </c>
      <c r="D9" s="91">
        <v>40506</v>
      </c>
      <c r="E9" s="91">
        <v>40507</v>
      </c>
      <c r="F9" s="91">
        <v>40508</v>
      </c>
      <c r="G9" s="118">
        <v>40509</v>
      </c>
      <c r="H9" s="118">
        <v>40510</v>
      </c>
      <c r="I9" s="40">
        <v>7</v>
      </c>
    </row>
    <row r="10" spans="1:11" x14ac:dyDescent="0.15">
      <c r="A10" s="40" t="s">
        <v>422</v>
      </c>
      <c r="B10" s="91">
        <v>40511</v>
      </c>
      <c r="C10" s="91">
        <v>40512</v>
      </c>
      <c r="D10" s="91">
        <v>40513</v>
      </c>
      <c r="E10" s="91">
        <v>40514</v>
      </c>
      <c r="F10" s="91">
        <v>40515</v>
      </c>
      <c r="G10" s="118">
        <v>40516</v>
      </c>
      <c r="H10" s="118">
        <v>40517</v>
      </c>
      <c r="I10" s="40">
        <v>8</v>
      </c>
    </row>
    <row r="11" spans="1:11" x14ac:dyDescent="0.15">
      <c r="A11" s="40" t="s">
        <v>423</v>
      </c>
      <c r="B11" s="91">
        <v>40518</v>
      </c>
      <c r="C11" s="91">
        <v>40519</v>
      </c>
      <c r="D11" s="91">
        <v>40520</v>
      </c>
      <c r="E11" s="91">
        <v>40521</v>
      </c>
      <c r="F11" s="91">
        <v>40522</v>
      </c>
      <c r="G11" s="118">
        <v>40523</v>
      </c>
      <c r="H11" s="118">
        <v>40524</v>
      </c>
      <c r="I11" s="40">
        <v>9</v>
      </c>
    </row>
    <row r="12" spans="1:11" x14ac:dyDescent="0.15">
      <c r="A12" s="40" t="s">
        <v>424</v>
      </c>
      <c r="B12" s="91">
        <v>40525</v>
      </c>
      <c r="C12" s="91">
        <v>40526</v>
      </c>
      <c r="D12" s="91">
        <v>40527</v>
      </c>
      <c r="E12" s="91">
        <v>40528</v>
      </c>
      <c r="F12" s="91">
        <v>40529</v>
      </c>
      <c r="G12" s="118">
        <v>40530</v>
      </c>
      <c r="H12" s="118">
        <v>40531</v>
      </c>
      <c r="I12" s="40">
        <v>10</v>
      </c>
    </row>
    <row r="13" spans="1:11" x14ac:dyDescent="0.15">
      <c r="A13" s="40" t="s">
        <v>425</v>
      </c>
      <c r="B13" s="91">
        <v>40532</v>
      </c>
      <c r="C13" s="91">
        <v>40533</v>
      </c>
      <c r="D13" s="91">
        <v>40534</v>
      </c>
      <c r="E13" s="91">
        <v>40535</v>
      </c>
      <c r="F13" s="91">
        <v>40536</v>
      </c>
      <c r="G13" s="118">
        <v>40537</v>
      </c>
      <c r="H13" s="118">
        <v>40538</v>
      </c>
    </row>
    <row r="14" spans="1:11" x14ac:dyDescent="0.15">
      <c r="A14" s="40" t="s">
        <v>426</v>
      </c>
      <c r="B14" s="91">
        <v>40539</v>
      </c>
      <c r="C14" s="91">
        <v>40540</v>
      </c>
      <c r="D14" s="91">
        <v>40541</v>
      </c>
      <c r="E14" s="91">
        <v>40542</v>
      </c>
      <c r="F14" s="91">
        <v>40543</v>
      </c>
      <c r="G14" s="118">
        <v>40544</v>
      </c>
      <c r="H14" s="118">
        <v>40545</v>
      </c>
    </row>
    <row r="15" spans="1:11" x14ac:dyDescent="0.15">
      <c r="A15" s="40" t="s">
        <v>427</v>
      </c>
      <c r="B15" s="91">
        <v>40546</v>
      </c>
      <c r="C15" s="91">
        <v>40547</v>
      </c>
      <c r="D15" s="91">
        <v>40548</v>
      </c>
      <c r="E15" s="91">
        <v>40549</v>
      </c>
      <c r="F15" s="91">
        <v>40550</v>
      </c>
      <c r="G15" s="118">
        <v>40551</v>
      </c>
      <c r="H15" s="118">
        <v>40552</v>
      </c>
    </row>
  </sheetData>
  <phoneticPr fontId="17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56"/>
  <sheetViews>
    <sheetView workbookViewId="0">
      <pane xSplit="2" ySplit="1" topLeftCell="C15" activePane="bottomRight" state="frozen"/>
      <selection pane="topRight" activeCell="C1" sqref="C1"/>
      <selection pane="bottomLeft" activeCell="A2" sqref="A2"/>
      <selection pane="bottomRight" activeCell="B20" sqref="B20"/>
    </sheetView>
  </sheetViews>
  <sheetFormatPr defaultRowHeight="13.5" x14ac:dyDescent="0.15"/>
  <cols>
    <col min="1" max="1" width="19.5" style="81" customWidth="1"/>
    <col min="2" max="2" width="43.875" style="80" customWidth="1"/>
    <col min="3" max="3" width="16.5" style="80" customWidth="1"/>
    <col min="4" max="4" width="28.125" style="80" customWidth="1"/>
  </cols>
  <sheetData>
    <row r="1" spans="1:4" x14ac:dyDescent="0.15">
      <c r="A1" s="76" t="s">
        <v>393</v>
      </c>
      <c r="B1" s="77" t="s">
        <v>392</v>
      </c>
      <c r="C1" s="78" t="s">
        <v>513</v>
      </c>
      <c r="D1" s="78" t="s">
        <v>512</v>
      </c>
    </row>
    <row r="2" spans="1:4" x14ac:dyDescent="0.15">
      <c r="A2" s="79">
        <v>40458</v>
      </c>
      <c r="B2" s="80" t="s">
        <v>406</v>
      </c>
      <c r="C2" s="79">
        <v>40459</v>
      </c>
    </row>
    <row r="3" spans="1:4" x14ac:dyDescent="0.15">
      <c r="A3" s="79">
        <v>40458</v>
      </c>
      <c r="B3" s="80" t="s">
        <v>390</v>
      </c>
      <c r="C3" s="79">
        <v>40459</v>
      </c>
    </row>
    <row r="4" spans="1:4" x14ac:dyDescent="0.15">
      <c r="A4" s="79">
        <v>40458</v>
      </c>
      <c r="B4" s="80" t="s">
        <v>391</v>
      </c>
      <c r="C4" s="79">
        <v>40459</v>
      </c>
    </row>
    <row r="5" spans="1:4" x14ac:dyDescent="0.15">
      <c r="A5" s="79">
        <v>40458</v>
      </c>
      <c r="B5" s="80" t="s">
        <v>399</v>
      </c>
      <c r="C5" s="79">
        <v>40459</v>
      </c>
    </row>
    <row r="6" spans="1:4" x14ac:dyDescent="0.15">
      <c r="A6" s="79">
        <v>40458</v>
      </c>
      <c r="B6" s="80" t="s">
        <v>405</v>
      </c>
      <c r="C6" s="79">
        <v>40459</v>
      </c>
    </row>
    <row r="7" spans="1:4" x14ac:dyDescent="0.15">
      <c r="A7" s="79">
        <v>40458</v>
      </c>
      <c r="B7" s="80" t="s">
        <v>407</v>
      </c>
      <c r="C7" s="79">
        <v>40459</v>
      </c>
    </row>
    <row r="8" spans="1:4" ht="148.5" x14ac:dyDescent="0.15">
      <c r="A8" s="79">
        <v>40461</v>
      </c>
      <c r="B8" s="82" t="s">
        <v>521</v>
      </c>
      <c r="C8" s="79">
        <v>40462</v>
      </c>
    </row>
    <row r="9" spans="1:4" ht="27" x14ac:dyDescent="0.15">
      <c r="A9" s="79">
        <v>40461</v>
      </c>
      <c r="B9" s="82" t="s">
        <v>520</v>
      </c>
      <c r="C9" s="79">
        <v>40462</v>
      </c>
    </row>
    <row r="10" spans="1:4" ht="40.5" x14ac:dyDescent="0.15">
      <c r="A10" s="79">
        <v>40461</v>
      </c>
      <c r="B10" s="82" t="s">
        <v>519</v>
      </c>
      <c r="C10" s="79">
        <v>40462</v>
      </c>
    </row>
    <row r="11" spans="1:4" ht="40.5" x14ac:dyDescent="0.15">
      <c r="A11" s="79">
        <v>40461</v>
      </c>
      <c r="B11" s="82" t="s">
        <v>514</v>
      </c>
      <c r="C11" s="79">
        <v>40462</v>
      </c>
    </row>
    <row r="12" spans="1:4" ht="94.5" x14ac:dyDescent="0.15">
      <c r="A12" s="79">
        <v>40461</v>
      </c>
      <c r="B12" s="82" t="s">
        <v>518</v>
      </c>
      <c r="C12" s="79">
        <v>40463</v>
      </c>
    </row>
    <row r="13" spans="1:4" ht="108" x14ac:dyDescent="0.15">
      <c r="A13" s="98">
        <v>40463</v>
      </c>
      <c r="B13" s="99" t="s">
        <v>585</v>
      </c>
      <c r="C13" s="98">
        <v>40464</v>
      </c>
    </row>
    <row r="14" spans="1:4" x14ac:dyDescent="0.15">
      <c r="A14" s="79">
        <v>40463</v>
      </c>
      <c r="B14" s="80" t="s">
        <v>586</v>
      </c>
      <c r="C14" s="79">
        <v>40464</v>
      </c>
    </row>
    <row r="15" spans="1:4" x14ac:dyDescent="0.15">
      <c r="A15" s="79">
        <v>40463</v>
      </c>
      <c r="B15" s="97" t="s">
        <v>587</v>
      </c>
      <c r="C15" s="79">
        <v>40464</v>
      </c>
    </row>
    <row r="16" spans="1:4" x14ac:dyDescent="0.15">
      <c r="A16" s="79">
        <v>40463</v>
      </c>
      <c r="B16" s="97" t="s">
        <v>588</v>
      </c>
      <c r="C16" s="79">
        <v>40464</v>
      </c>
    </row>
    <row r="17" spans="1:3" x14ac:dyDescent="0.15">
      <c r="A17" s="79">
        <v>40463</v>
      </c>
      <c r="B17" s="97" t="s">
        <v>595</v>
      </c>
      <c r="C17" s="79"/>
    </row>
    <row r="18" spans="1:3" x14ac:dyDescent="0.15">
      <c r="A18" s="79">
        <v>40463</v>
      </c>
      <c r="B18" s="97" t="s">
        <v>594</v>
      </c>
      <c r="C18" s="79">
        <v>40464</v>
      </c>
    </row>
    <row r="19" spans="1:3" x14ac:dyDescent="0.15">
      <c r="A19" s="79"/>
      <c r="B19" s="116" t="s">
        <v>723</v>
      </c>
      <c r="C19" s="79"/>
    </row>
    <row r="20" spans="1:3" x14ac:dyDescent="0.15">
      <c r="A20" s="79"/>
      <c r="B20" s="117"/>
      <c r="C20" s="79"/>
    </row>
    <row r="21" spans="1:3" x14ac:dyDescent="0.15">
      <c r="A21" s="79"/>
      <c r="B21" s="97"/>
      <c r="C21" s="79"/>
    </row>
    <row r="22" spans="1:3" x14ac:dyDescent="0.15">
      <c r="A22" s="79"/>
      <c r="B22" s="97"/>
      <c r="C22" s="79"/>
    </row>
    <row r="23" spans="1:3" x14ac:dyDescent="0.15">
      <c r="A23" s="79"/>
      <c r="B23" s="97"/>
      <c r="C23" s="79"/>
    </row>
    <row r="24" spans="1:3" x14ac:dyDescent="0.15">
      <c r="A24" s="79"/>
      <c r="B24" s="97"/>
      <c r="C24" s="79"/>
    </row>
    <row r="25" spans="1:3" x14ac:dyDescent="0.15">
      <c r="A25" s="79"/>
      <c r="B25" s="97"/>
      <c r="C25" s="79"/>
    </row>
    <row r="26" spans="1:3" x14ac:dyDescent="0.15">
      <c r="A26" s="79"/>
      <c r="B26" s="97"/>
      <c r="C26" s="79"/>
    </row>
    <row r="27" spans="1:3" x14ac:dyDescent="0.15">
      <c r="A27" s="79"/>
      <c r="B27" s="97"/>
      <c r="C27" s="79"/>
    </row>
    <row r="28" spans="1:3" x14ac:dyDescent="0.15">
      <c r="A28" s="79"/>
      <c r="B28" s="80" t="s">
        <v>429</v>
      </c>
      <c r="C28" s="79"/>
    </row>
    <row r="29" spans="1:3" x14ac:dyDescent="0.15">
      <c r="A29" s="79"/>
      <c r="B29" s="97"/>
      <c r="C29" s="79"/>
    </row>
    <row r="30" spans="1:3" x14ac:dyDescent="0.15">
      <c r="A30" s="79"/>
      <c r="B30" s="97"/>
      <c r="C30" s="79"/>
    </row>
    <row r="31" spans="1:3" x14ac:dyDescent="0.15">
      <c r="A31" s="79"/>
      <c r="B31" s="97"/>
      <c r="C31" s="79"/>
    </row>
    <row r="32" spans="1:3" x14ac:dyDescent="0.15">
      <c r="A32" s="79"/>
      <c r="B32" s="97"/>
      <c r="C32" s="79"/>
    </row>
    <row r="33" spans="1:3" x14ac:dyDescent="0.15">
      <c r="A33" s="79"/>
      <c r="C33" s="79"/>
    </row>
    <row r="34" spans="1:3" x14ac:dyDescent="0.15">
      <c r="A34" s="79"/>
      <c r="C34" s="79"/>
    </row>
    <row r="35" spans="1:3" x14ac:dyDescent="0.15">
      <c r="A35" s="79"/>
      <c r="C35" s="79"/>
    </row>
    <row r="36" spans="1:3" x14ac:dyDescent="0.15">
      <c r="A36" s="79"/>
      <c r="C36" s="79"/>
    </row>
    <row r="37" spans="1:3" x14ac:dyDescent="0.15">
      <c r="A37" s="79"/>
      <c r="C37" s="79"/>
    </row>
    <row r="38" spans="1:3" x14ac:dyDescent="0.15">
      <c r="A38" s="79"/>
      <c r="C38" s="79"/>
    </row>
    <row r="39" spans="1:3" x14ac:dyDescent="0.15">
      <c r="A39" s="79"/>
      <c r="C39" s="79"/>
    </row>
    <row r="40" spans="1:3" x14ac:dyDescent="0.15">
      <c r="C40" s="79"/>
    </row>
    <row r="44" spans="1:3" x14ac:dyDescent="0.15">
      <c r="B44" s="80" t="s">
        <v>394</v>
      </c>
    </row>
    <row r="45" spans="1:3" x14ac:dyDescent="0.15">
      <c r="B45" s="80" t="s">
        <v>395</v>
      </c>
    </row>
    <row r="46" spans="1:3" x14ac:dyDescent="0.15">
      <c r="B46" s="80" t="s">
        <v>396</v>
      </c>
    </row>
    <row r="47" spans="1:3" x14ac:dyDescent="0.15">
      <c r="B47" s="80" t="s">
        <v>397</v>
      </c>
    </row>
    <row r="48" spans="1:3" x14ac:dyDescent="0.15">
      <c r="B48" s="80" t="s">
        <v>398</v>
      </c>
    </row>
    <row r="49" spans="1:4" x14ac:dyDescent="0.15">
      <c r="B49" s="80" t="s">
        <v>400</v>
      </c>
    </row>
    <row r="56" spans="1:4" x14ac:dyDescent="0.15">
      <c r="A56" s="83"/>
      <c r="B56" s="84"/>
      <c r="C56" s="84"/>
      <c r="D56" s="84"/>
    </row>
  </sheetData>
  <autoFilter ref="A1:D55">
    <sortState ref="A2:D41">
      <sortCondition ref="A1:A41"/>
    </sortState>
  </autoFilter>
  <phoneticPr fontId="17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63"/>
  <sheetViews>
    <sheetView zoomScale="75" workbookViewId="0">
      <pane xSplit="4" ySplit="2" topLeftCell="F3" activePane="bottomRight" state="frozen"/>
      <selection pane="topRight" activeCell="D1" sqref="D1"/>
      <selection pane="bottomLeft" activeCell="A3" sqref="A3"/>
      <selection pane="bottomRight" activeCell="C28" sqref="C28"/>
    </sheetView>
  </sheetViews>
  <sheetFormatPr defaultRowHeight="13.5" x14ac:dyDescent="0.15"/>
  <cols>
    <col min="1" max="1" width="14.375" style="40" customWidth="1"/>
    <col min="2" max="3" width="9.5" style="40" customWidth="1"/>
    <col min="4" max="5" width="14.375" style="40" customWidth="1"/>
    <col min="6" max="6" width="32.25" style="40" customWidth="1"/>
    <col min="7" max="8" width="14.375" style="40" customWidth="1"/>
    <col min="9" max="9" width="8.75" style="40" customWidth="1"/>
    <col min="10" max="10" width="10.25" style="40" customWidth="1"/>
    <col min="11" max="11" width="10.375" style="40" customWidth="1"/>
    <col min="12" max="12" width="10" style="40" customWidth="1"/>
    <col min="13" max="13" width="10.5" style="40" customWidth="1"/>
    <col min="14" max="14" width="11.125" style="40" customWidth="1"/>
    <col min="15" max="15" width="10.5" style="40" customWidth="1"/>
    <col min="16" max="16" width="10.625" style="40" customWidth="1"/>
    <col min="17" max="17" width="12.5" style="40" customWidth="1"/>
    <col min="18" max="18" width="9.75" style="40" customWidth="1"/>
    <col min="19" max="20" width="11.875" style="40" customWidth="1"/>
    <col min="21" max="21" width="18.875" style="40" customWidth="1"/>
    <col min="22" max="22" width="25" style="40" customWidth="1"/>
    <col min="23" max="16384" width="9" style="40"/>
  </cols>
  <sheetData>
    <row r="1" spans="1:22" ht="13.5" customHeight="1" x14ac:dyDescent="0.15">
      <c r="A1" s="178" t="s">
        <v>511</v>
      </c>
      <c r="B1" s="178" t="s">
        <v>363</v>
      </c>
      <c r="C1" s="178" t="s">
        <v>433</v>
      </c>
      <c r="D1" s="178" t="s">
        <v>436</v>
      </c>
      <c r="E1" s="181" t="s">
        <v>752</v>
      </c>
      <c r="F1" s="187" t="s">
        <v>759</v>
      </c>
      <c r="G1" s="178" t="s">
        <v>589</v>
      </c>
      <c r="H1" s="178" t="s">
        <v>590</v>
      </c>
      <c r="I1" s="185" t="s">
        <v>591</v>
      </c>
      <c r="J1" s="185" t="s">
        <v>592</v>
      </c>
      <c r="K1" s="179" t="s">
        <v>366</v>
      </c>
      <c r="L1" s="179"/>
      <c r="M1" s="179"/>
      <c r="N1" s="180" t="s">
        <v>368</v>
      </c>
      <c r="O1" s="178" t="s">
        <v>369</v>
      </c>
      <c r="P1" s="178" t="s">
        <v>370</v>
      </c>
      <c r="Q1" s="178"/>
      <c r="R1" s="178"/>
      <c r="S1" s="178"/>
      <c r="T1" s="181" t="s">
        <v>508</v>
      </c>
      <c r="U1" s="178" t="s">
        <v>374</v>
      </c>
      <c r="V1" s="183" t="s">
        <v>593</v>
      </c>
    </row>
    <row r="2" spans="1:22" ht="13.5" customHeight="1" x14ac:dyDescent="0.15">
      <c r="A2" s="178"/>
      <c r="B2" s="178"/>
      <c r="C2" s="178"/>
      <c r="D2" s="178"/>
      <c r="E2" s="182"/>
      <c r="F2" s="182"/>
      <c r="G2" s="178"/>
      <c r="H2" s="178"/>
      <c r="I2" s="182"/>
      <c r="J2" s="186"/>
      <c r="K2" s="71" t="s">
        <v>364</v>
      </c>
      <c r="L2" s="71" t="s">
        <v>365</v>
      </c>
      <c r="M2" s="71" t="s">
        <v>367</v>
      </c>
      <c r="N2" s="180"/>
      <c r="O2" s="178"/>
      <c r="P2" s="71" t="s">
        <v>371</v>
      </c>
      <c r="Q2" s="71" t="s">
        <v>372</v>
      </c>
      <c r="R2" s="71" t="s">
        <v>373</v>
      </c>
      <c r="S2" s="71" t="s">
        <v>367</v>
      </c>
      <c r="T2" s="182"/>
      <c r="U2" s="178"/>
      <c r="V2" s="184"/>
    </row>
    <row r="3" spans="1:22" x14ac:dyDescent="0.15">
      <c r="A3" s="68" t="s">
        <v>522</v>
      </c>
      <c r="B3" s="68" t="s">
        <v>763</v>
      </c>
      <c r="C3" s="68" t="s">
        <v>435</v>
      </c>
      <c r="D3" s="68" t="s">
        <v>437</v>
      </c>
      <c r="E3" s="68"/>
      <c r="F3" s="120" t="s">
        <v>758</v>
      </c>
      <c r="G3" s="68">
        <v>13814921303</v>
      </c>
      <c r="H3" s="68">
        <v>574411437</v>
      </c>
      <c r="I3" s="68"/>
      <c r="J3" s="68"/>
      <c r="K3" s="68" t="s">
        <v>432</v>
      </c>
      <c r="L3" s="68"/>
      <c r="M3" s="68"/>
      <c r="N3" s="68" t="s">
        <v>432</v>
      </c>
      <c r="O3" s="68" t="s">
        <v>432</v>
      </c>
      <c r="P3" s="68"/>
      <c r="Q3" s="68"/>
      <c r="R3" s="68"/>
      <c r="S3" s="68"/>
      <c r="T3" s="68" t="s">
        <v>509</v>
      </c>
      <c r="U3" s="68"/>
    </row>
    <row r="4" spans="1:22" x14ac:dyDescent="0.15">
      <c r="A4" s="68" t="s">
        <v>523</v>
      </c>
      <c r="B4" s="68" t="s">
        <v>438</v>
      </c>
      <c r="C4" s="68" t="s">
        <v>440</v>
      </c>
      <c r="D4" s="68" t="s">
        <v>441</v>
      </c>
      <c r="E4" s="68"/>
      <c r="F4" s="120" t="s">
        <v>734</v>
      </c>
      <c r="G4" s="68">
        <v>18862486339</v>
      </c>
      <c r="H4" s="68">
        <v>179627414</v>
      </c>
      <c r="I4" s="68"/>
      <c r="J4" s="68"/>
      <c r="K4" s="68" t="s">
        <v>432</v>
      </c>
      <c r="L4" s="68" t="s">
        <v>432</v>
      </c>
      <c r="M4" s="68" t="s">
        <v>497</v>
      </c>
      <c r="N4" s="68" t="s">
        <v>432</v>
      </c>
      <c r="O4" s="68" t="s">
        <v>432</v>
      </c>
      <c r="P4" s="68"/>
      <c r="Q4" s="68"/>
      <c r="R4" s="68"/>
      <c r="S4" s="68"/>
      <c r="T4" s="68"/>
      <c r="U4" s="68"/>
    </row>
    <row r="5" spans="1:22" x14ac:dyDescent="0.15">
      <c r="A5" s="69" t="s">
        <v>524</v>
      </c>
      <c r="B5" s="69" t="s">
        <v>764</v>
      </c>
      <c r="C5" s="69" t="s">
        <v>440</v>
      </c>
      <c r="D5" s="69" t="s">
        <v>442</v>
      </c>
      <c r="E5" s="126"/>
      <c r="F5" s="125" t="s">
        <v>757</v>
      </c>
      <c r="G5" s="68">
        <v>15851501765</v>
      </c>
      <c r="H5" s="68">
        <v>674733446</v>
      </c>
      <c r="I5" s="68"/>
      <c r="J5" s="68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</row>
    <row r="6" spans="1:22" x14ac:dyDescent="0.15">
      <c r="A6" s="70" t="s">
        <v>525</v>
      </c>
      <c r="B6" s="68" t="s">
        <v>443</v>
      </c>
      <c r="C6" s="68" t="s">
        <v>440</v>
      </c>
      <c r="D6" s="68" t="s">
        <v>442</v>
      </c>
      <c r="E6" s="68"/>
      <c r="F6" s="68"/>
      <c r="G6" s="68">
        <v>13773086648</v>
      </c>
      <c r="H6" s="68">
        <v>337523249</v>
      </c>
      <c r="I6" s="68" t="s">
        <v>583</v>
      </c>
      <c r="J6" s="68"/>
      <c r="K6" s="68" t="s">
        <v>432</v>
      </c>
      <c r="L6" s="68" t="s">
        <v>432</v>
      </c>
      <c r="M6" s="68"/>
      <c r="N6" s="68" t="s">
        <v>432</v>
      </c>
      <c r="O6" s="68" t="s">
        <v>432</v>
      </c>
      <c r="P6" s="68"/>
      <c r="Q6" s="68"/>
      <c r="R6" s="68"/>
      <c r="S6" s="68"/>
      <c r="T6" s="68"/>
      <c r="U6" s="68"/>
    </row>
    <row r="7" spans="1:22" x14ac:dyDescent="0.15">
      <c r="A7" s="68" t="s">
        <v>526</v>
      </c>
      <c r="B7" s="68" t="s">
        <v>444</v>
      </c>
      <c r="C7" s="68" t="s">
        <v>435</v>
      </c>
      <c r="D7" s="68" t="s">
        <v>437</v>
      </c>
      <c r="E7" s="68"/>
      <c r="F7" s="120" t="s">
        <v>762</v>
      </c>
      <c r="G7" s="68">
        <v>15606238802</v>
      </c>
      <c r="H7" s="68">
        <v>616106961</v>
      </c>
      <c r="I7" s="68"/>
      <c r="J7" s="68"/>
      <c r="K7" s="68" t="s">
        <v>432</v>
      </c>
      <c r="L7" s="68"/>
      <c r="M7" s="68"/>
      <c r="N7" s="68" t="s">
        <v>432</v>
      </c>
      <c r="O7" s="68" t="s">
        <v>432</v>
      </c>
      <c r="P7" s="68"/>
      <c r="Q7" s="68"/>
      <c r="R7" s="68"/>
      <c r="S7" s="68"/>
      <c r="T7" s="68"/>
      <c r="U7" s="68"/>
    </row>
    <row r="8" spans="1:22" x14ac:dyDescent="0.15">
      <c r="A8" s="68" t="s">
        <v>527</v>
      </c>
      <c r="B8" s="68" t="s">
        <v>445</v>
      </c>
      <c r="C8" s="68" t="s">
        <v>440</v>
      </c>
      <c r="D8" s="68" t="s">
        <v>442</v>
      </c>
      <c r="E8" s="68"/>
      <c r="F8" s="127"/>
      <c r="G8" s="68">
        <v>13776210371</v>
      </c>
      <c r="H8" s="68">
        <v>422986035</v>
      </c>
      <c r="I8" s="68"/>
      <c r="J8" s="68"/>
      <c r="K8" s="68" t="s">
        <v>432</v>
      </c>
      <c r="L8" s="68" t="s">
        <v>432</v>
      </c>
      <c r="M8" s="68"/>
      <c r="N8" s="68" t="s">
        <v>432</v>
      </c>
      <c r="O8" s="68" t="s">
        <v>432</v>
      </c>
      <c r="P8" s="68"/>
      <c r="Q8" s="68"/>
      <c r="R8" s="68"/>
      <c r="S8" s="68"/>
      <c r="T8" s="68"/>
      <c r="U8" s="68"/>
    </row>
    <row r="9" spans="1:22" x14ac:dyDescent="0.15">
      <c r="A9" s="68" t="s">
        <v>528</v>
      </c>
      <c r="B9" s="68" t="s">
        <v>446</v>
      </c>
      <c r="C9" s="68" t="s">
        <v>439</v>
      </c>
      <c r="D9" s="68" t="s">
        <v>437</v>
      </c>
      <c r="E9" s="68"/>
      <c r="F9" s="120" t="s">
        <v>733</v>
      </c>
      <c r="G9" s="68">
        <v>18862486137</v>
      </c>
      <c r="H9" s="68">
        <v>654824073</v>
      </c>
      <c r="I9" s="68"/>
      <c r="J9" s="68"/>
      <c r="K9" s="68" t="s">
        <v>432</v>
      </c>
      <c r="L9" s="68"/>
      <c r="M9" s="68"/>
      <c r="N9" s="68" t="s">
        <v>432</v>
      </c>
      <c r="O9" s="68" t="s">
        <v>507</v>
      </c>
      <c r="P9" s="68"/>
      <c r="Q9" s="68"/>
      <c r="R9" s="68"/>
      <c r="S9" s="68"/>
      <c r="T9" s="68" t="s">
        <v>509</v>
      </c>
      <c r="U9" s="68"/>
    </row>
    <row r="10" spans="1:22" x14ac:dyDescent="0.15">
      <c r="A10" s="68" t="s">
        <v>529</v>
      </c>
      <c r="B10" s="68" t="s">
        <v>447</v>
      </c>
      <c r="C10" s="68" t="s">
        <v>434</v>
      </c>
      <c r="D10" s="68" t="s">
        <v>442</v>
      </c>
      <c r="E10" s="68"/>
      <c r="F10" s="68"/>
      <c r="G10" s="68">
        <v>15050358240</v>
      </c>
      <c r="H10" s="68">
        <v>635467593</v>
      </c>
      <c r="I10" s="68"/>
      <c r="J10" s="68"/>
      <c r="K10" s="68" t="s">
        <v>432</v>
      </c>
      <c r="L10" s="68" t="s">
        <v>432</v>
      </c>
      <c r="M10" s="68"/>
      <c r="N10" s="68" t="s">
        <v>432</v>
      </c>
      <c r="O10" s="68" t="s">
        <v>432</v>
      </c>
      <c r="P10" s="68"/>
      <c r="Q10" s="68"/>
      <c r="R10" s="68"/>
      <c r="S10" s="68"/>
      <c r="T10" s="68"/>
      <c r="U10" s="68"/>
    </row>
    <row r="11" spans="1:22" x14ac:dyDescent="0.15">
      <c r="A11" s="68" t="s">
        <v>530</v>
      </c>
      <c r="B11" s="68" t="s">
        <v>448</v>
      </c>
      <c r="C11" s="68" t="s">
        <v>439</v>
      </c>
      <c r="D11" s="68" t="s">
        <v>441</v>
      </c>
      <c r="E11" s="68"/>
      <c r="F11" s="120" t="s">
        <v>737</v>
      </c>
      <c r="G11" s="68">
        <v>13913685245</v>
      </c>
      <c r="H11" s="68">
        <v>574767912</v>
      </c>
      <c r="I11" s="68"/>
      <c r="J11" s="68"/>
      <c r="K11" s="68" t="s">
        <v>432</v>
      </c>
      <c r="L11" s="68" t="s">
        <v>432</v>
      </c>
      <c r="M11" s="68"/>
      <c r="N11" s="68" t="s">
        <v>432</v>
      </c>
      <c r="O11" s="68" t="s">
        <v>432</v>
      </c>
      <c r="P11" s="68"/>
      <c r="Q11" s="68"/>
      <c r="R11" s="68"/>
      <c r="S11" s="68"/>
      <c r="T11" s="68"/>
      <c r="U11" s="68"/>
    </row>
    <row r="12" spans="1:22" x14ac:dyDescent="0.15">
      <c r="A12" s="69" t="s">
        <v>531</v>
      </c>
      <c r="B12" s="69" t="s">
        <v>449</v>
      </c>
      <c r="C12" s="69" t="s">
        <v>439</v>
      </c>
      <c r="D12" s="69"/>
      <c r="E12" s="69"/>
      <c r="F12" s="125" t="s">
        <v>738</v>
      </c>
      <c r="G12" s="68">
        <v>13814915263</v>
      </c>
      <c r="H12" s="68">
        <v>836684894</v>
      </c>
      <c r="I12" s="68"/>
      <c r="J12" s="68"/>
      <c r="K12" s="69"/>
      <c r="L12" s="69"/>
      <c r="M12" s="69"/>
      <c r="N12" s="69"/>
      <c r="O12" s="69"/>
      <c r="P12" s="69"/>
      <c r="Q12" s="69"/>
      <c r="R12" s="69"/>
      <c r="S12" s="69"/>
      <c r="T12" s="69"/>
      <c r="U12" s="69"/>
    </row>
    <row r="13" spans="1:22" x14ac:dyDescent="0.15">
      <c r="A13" s="68" t="s">
        <v>532</v>
      </c>
      <c r="B13" s="68" t="s">
        <v>450</v>
      </c>
      <c r="C13" s="68" t="s">
        <v>439</v>
      </c>
      <c r="D13" s="68" t="s">
        <v>437</v>
      </c>
      <c r="E13" s="68"/>
      <c r="F13" s="68"/>
      <c r="G13" s="68">
        <v>15851579490</v>
      </c>
      <c r="H13" s="68">
        <v>605935244</v>
      </c>
      <c r="I13" s="68" t="s">
        <v>583</v>
      </c>
      <c r="J13" s="68"/>
      <c r="K13" s="68" t="s">
        <v>432</v>
      </c>
      <c r="L13" s="68"/>
      <c r="M13" s="68"/>
      <c r="N13" s="68" t="s">
        <v>432</v>
      </c>
      <c r="O13" s="68" t="s">
        <v>432</v>
      </c>
      <c r="P13" s="68"/>
      <c r="Q13" s="68"/>
      <c r="R13" s="68"/>
      <c r="S13" s="68"/>
      <c r="T13" s="68"/>
      <c r="U13" s="68"/>
    </row>
    <row r="14" spans="1:22" x14ac:dyDescent="0.15">
      <c r="A14" s="68" t="s">
        <v>533</v>
      </c>
      <c r="B14" s="68" t="s">
        <v>451</v>
      </c>
      <c r="C14" s="68" t="s">
        <v>439</v>
      </c>
      <c r="D14" s="68" t="s">
        <v>437</v>
      </c>
      <c r="E14" s="68"/>
      <c r="F14" s="120" t="s">
        <v>750</v>
      </c>
      <c r="G14" s="68">
        <v>13814900048</v>
      </c>
      <c r="H14" s="68">
        <v>897796624</v>
      </c>
      <c r="I14" s="68" t="s">
        <v>583</v>
      </c>
      <c r="J14" s="68"/>
      <c r="K14" s="68" t="s">
        <v>432</v>
      </c>
      <c r="L14" s="68" t="s">
        <v>432</v>
      </c>
      <c r="M14" s="68"/>
      <c r="N14" s="68" t="s">
        <v>432</v>
      </c>
      <c r="O14" s="68" t="s">
        <v>432</v>
      </c>
      <c r="P14" s="68"/>
      <c r="Q14" s="68"/>
      <c r="R14" s="68"/>
      <c r="S14" s="68"/>
      <c r="T14" s="68"/>
      <c r="U14" s="68"/>
    </row>
    <row r="15" spans="1:22" x14ac:dyDescent="0.15">
      <c r="A15" s="68" t="s">
        <v>534</v>
      </c>
      <c r="B15" s="70" t="s">
        <v>498</v>
      </c>
      <c r="C15" s="68" t="s">
        <v>439</v>
      </c>
      <c r="D15" s="68" t="s">
        <v>441</v>
      </c>
      <c r="E15" s="68"/>
      <c r="F15" s="68"/>
      <c r="G15" s="128">
        <v>13814931474</v>
      </c>
      <c r="H15" s="128">
        <v>384775483</v>
      </c>
      <c r="I15" s="68"/>
      <c r="J15" s="68"/>
      <c r="K15" s="68" t="s">
        <v>432</v>
      </c>
      <c r="L15" s="68" t="s">
        <v>432</v>
      </c>
      <c r="M15" s="68"/>
      <c r="N15" s="68" t="s">
        <v>432</v>
      </c>
      <c r="O15" s="68" t="s">
        <v>432</v>
      </c>
      <c r="P15" s="68"/>
      <c r="Q15" s="68"/>
      <c r="R15" s="68"/>
      <c r="S15" s="68"/>
      <c r="T15" s="68" t="s">
        <v>510</v>
      </c>
      <c r="U15" s="68"/>
    </row>
    <row r="16" spans="1:22" x14ac:dyDescent="0.15">
      <c r="A16" s="68" t="s">
        <v>535</v>
      </c>
      <c r="B16" s="68" t="s">
        <v>452</v>
      </c>
      <c r="C16" s="68" t="s">
        <v>439</v>
      </c>
      <c r="D16" s="68" t="s">
        <v>442</v>
      </c>
      <c r="E16" s="68"/>
      <c r="F16" s="68"/>
      <c r="G16" s="68">
        <v>18962304819</v>
      </c>
      <c r="H16" s="68">
        <v>403988423</v>
      </c>
      <c r="I16" s="68"/>
      <c r="J16" s="68"/>
      <c r="K16" s="68" t="s">
        <v>432</v>
      </c>
      <c r="L16" s="68" t="s">
        <v>432</v>
      </c>
      <c r="M16" s="68"/>
      <c r="N16" s="68" t="s">
        <v>432</v>
      </c>
      <c r="O16" s="68" t="s">
        <v>432</v>
      </c>
      <c r="P16" s="68"/>
      <c r="Q16" s="68"/>
      <c r="R16" s="68"/>
      <c r="S16" s="68"/>
      <c r="T16" s="68"/>
      <c r="U16" s="68"/>
    </row>
    <row r="17" spans="1:21" x14ac:dyDescent="0.15">
      <c r="A17" s="68" t="s">
        <v>536</v>
      </c>
      <c r="B17" s="68" t="s">
        <v>453</v>
      </c>
      <c r="C17" s="68" t="s">
        <v>439</v>
      </c>
      <c r="D17" s="68" t="s">
        <v>442</v>
      </c>
      <c r="E17" s="68"/>
      <c r="F17" s="120" t="s">
        <v>760</v>
      </c>
      <c r="G17" s="68">
        <v>15106239971</v>
      </c>
      <c r="H17" s="68">
        <v>806763636</v>
      </c>
      <c r="I17" s="68"/>
      <c r="J17" s="68"/>
      <c r="K17" s="68" t="s">
        <v>432</v>
      </c>
      <c r="L17" s="68" t="s">
        <v>432</v>
      </c>
      <c r="M17" s="68"/>
      <c r="N17" s="68" t="s">
        <v>432</v>
      </c>
      <c r="O17" s="68" t="s">
        <v>432</v>
      </c>
      <c r="P17" s="68"/>
      <c r="Q17" s="68"/>
      <c r="R17" s="68"/>
      <c r="S17" s="68"/>
      <c r="T17" s="68"/>
      <c r="U17" s="68"/>
    </row>
    <row r="18" spans="1:21" x14ac:dyDescent="0.15">
      <c r="A18" s="68" t="s">
        <v>537</v>
      </c>
      <c r="B18" s="68" t="s">
        <v>454</v>
      </c>
      <c r="C18" s="68" t="s">
        <v>439</v>
      </c>
      <c r="D18" s="68" t="s">
        <v>442</v>
      </c>
      <c r="E18" s="68"/>
      <c r="F18" s="68"/>
      <c r="G18" s="68">
        <v>15895606902</v>
      </c>
      <c r="H18" s="68">
        <v>365549591</v>
      </c>
      <c r="I18" s="68"/>
      <c r="J18" s="68"/>
      <c r="K18" s="68" t="s">
        <v>432</v>
      </c>
      <c r="L18" s="68" t="s">
        <v>432</v>
      </c>
      <c r="M18" s="68"/>
      <c r="N18" s="68" t="s">
        <v>432</v>
      </c>
      <c r="O18" s="68" t="s">
        <v>432</v>
      </c>
      <c r="P18" s="68"/>
      <c r="Q18" s="68"/>
      <c r="R18" s="68"/>
      <c r="S18" s="68"/>
      <c r="T18" s="68"/>
      <c r="U18" s="68"/>
    </row>
    <row r="19" spans="1:21" x14ac:dyDescent="0.15">
      <c r="A19" s="68" t="s">
        <v>542</v>
      </c>
      <c r="B19" s="68" t="s">
        <v>455</v>
      </c>
      <c r="C19" s="68" t="s">
        <v>439</v>
      </c>
      <c r="D19" s="68" t="s">
        <v>441</v>
      </c>
      <c r="E19" s="68"/>
      <c r="F19" s="68"/>
      <c r="G19" s="68">
        <v>18862486321</v>
      </c>
      <c r="H19" s="68">
        <v>476450319</v>
      </c>
      <c r="I19" s="68"/>
      <c r="J19" s="68"/>
      <c r="K19" s="68" t="s">
        <v>432</v>
      </c>
      <c r="L19" s="68" t="s">
        <v>432</v>
      </c>
      <c r="M19" s="68"/>
      <c r="N19" s="68" t="s">
        <v>432</v>
      </c>
      <c r="O19" s="68" t="s">
        <v>432</v>
      </c>
      <c r="P19" s="68"/>
      <c r="Q19" s="68"/>
      <c r="R19" s="68"/>
      <c r="S19" s="68"/>
      <c r="T19" s="68"/>
      <c r="U19" s="68"/>
    </row>
    <row r="20" spans="1:21" x14ac:dyDescent="0.15">
      <c r="A20" s="68" t="s">
        <v>538</v>
      </c>
      <c r="B20" s="68" t="s">
        <v>456</v>
      </c>
      <c r="C20" s="68" t="s">
        <v>439</v>
      </c>
      <c r="D20" s="68" t="s">
        <v>442</v>
      </c>
      <c r="E20" s="68"/>
      <c r="F20" s="120" t="s">
        <v>740</v>
      </c>
      <c r="G20" s="68">
        <v>15850804701</v>
      </c>
      <c r="H20" s="68">
        <v>898127723</v>
      </c>
      <c r="I20" s="68" t="s">
        <v>583</v>
      </c>
      <c r="J20" s="68"/>
      <c r="K20" s="68" t="s">
        <v>432</v>
      </c>
      <c r="L20" s="68" t="s">
        <v>432</v>
      </c>
      <c r="M20" s="68" t="s">
        <v>499</v>
      </c>
      <c r="N20" s="68" t="s">
        <v>432</v>
      </c>
      <c r="O20" s="68" t="s">
        <v>432</v>
      </c>
      <c r="P20" s="68"/>
      <c r="Q20" s="68"/>
      <c r="R20" s="68"/>
      <c r="S20" s="68" t="s">
        <v>500</v>
      </c>
      <c r="T20" s="68"/>
      <c r="U20" s="68"/>
    </row>
    <row r="21" spans="1:21" x14ac:dyDescent="0.15">
      <c r="A21" s="68" t="s">
        <v>539</v>
      </c>
      <c r="B21" s="68" t="s">
        <v>457</v>
      </c>
      <c r="C21" s="68" t="s">
        <v>439</v>
      </c>
      <c r="D21" s="68" t="s">
        <v>441</v>
      </c>
      <c r="E21" s="68"/>
      <c r="F21" s="68"/>
      <c r="G21" s="68">
        <v>13814984650</v>
      </c>
      <c r="H21" s="68">
        <v>494526801</v>
      </c>
      <c r="I21" s="68"/>
      <c r="J21" s="68"/>
      <c r="K21" s="68" t="s">
        <v>432</v>
      </c>
      <c r="L21" s="68" t="s">
        <v>432</v>
      </c>
      <c r="M21" s="68"/>
      <c r="N21" s="68" t="s">
        <v>432</v>
      </c>
      <c r="O21" s="68" t="s">
        <v>432</v>
      </c>
      <c r="P21" s="68"/>
      <c r="Q21" s="68"/>
      <c r="R21" s="68"/>
      <c r="S21" s="68"/>
      <c r="T21" s="68"/>
      <c r="U21" s="68"/>
    </row>
    <row r="22" spans="1:21" x14ac:dyDescent="0.15">
      <c r="A22" s="68" t="s">
        <v>540</v>
      </c>
      <c r="B22" s="68" t="s">
        <v>458</v>
      </c>
      <c r="C22" s="68" t="s">
        <v>439</v>
      </c>
      <c r="D22" s="68" t="s">
        <v>441</v>
      </c>
      <c r="E22" s="68"/>
      <c r="F22" s="120" t="s">
        <v>732</v>
      </c>
      <c r="G22" s="68">
        <v>18862281877</v>
      </c>
      <c r="H22" s="68"/>
      <c r="I22" s="68" t="s">
        <v>583</v>
      </c>
      <c r="J22" s="68"/>
      <c r="K22" s="68" t="s">
        <v>432</v>
      </c>
      <c r="L22" s="68" t="s">
        <v>432</v>
      </c>
      <c r="M22" s="68" t="s">
        <v>501</v>
      </c>
      <c r="N22" s="68" t="s">
        <v>432</v>
      </c>
      <c r="O22" s="68" t="s">
        <v>432</v>
      </c>
      <c r="P22" s="68"/>
      <c r="Q22" s="68"/>
      <c r="R22" s="68"/>
      <c r="S22" s="68"/>
      <c r="T22" s="68"/>
      <c r="U22" s="68"/>
    </row>
    <row r="23" spans="1:21" x14ac:dyDescent="0.15">
      <c r="A23" s="68" t="s">
        <v>543</v>
      </c>
      <c r="B23" s="68" t="s">
        <v>459</v>
      </c>
      <c r="C23" s="68" t="s">
        <v>439</v>
      </c>
      <c r="D23" s="68" t="s">
        <v>442</v>
      </c>
      <c r="E23" s="68"/>
      <c r="F23" s="68"/>
      <c r="G23" s="68">
        <v>13862338634</v>
      </c>
      <c r="H23" s="68">
        <v>412674339</v>
      </c>
      <c r="I23" s="68"/>
      <c r="J23" s="68"/>
      <c r="K23" s="68" t="s">
        <v>432</v>
      </c>
      <c r="L23" s="68" t="s">
        <v>432</v>
      </c>
      <c r="M23" s="68"/>
      <c r="N23" s="68" t="s">
        <v>432</v>
      </c>
      <c r="O23" s="68" t="s">
        <v>432</v>
      </c>
      <c r="P23" s="68"/>
      <c r="Q23" s="68"/>
      <c r="R23" s="68"/>
      <c r="S23" s="68" t="s">
        <v>500</v>
      </c>
      <c r="T23" s="68"/>
      <c r="U23" s="68"/>
    </row>
    <row r="24" spans="1:21" x14ac:dyDescent="0.15">
      <c r="A24" s="68" t="s">
        <v>544</v>
      </c>
      <c r="B24" s="68" t="s">
        <v>460</v>
      </c>
      <c r="C24" s="68" t="s">
        <v>439</v>
      </c>
      <c r="D24" s="68" t="s">
        <v>442</v>
      </c>
      <c r="E24" s="68"/>
      <c r="F24" s="120" t="s">
        <v>748</v>
      </c>
      <c r="G24" s="68">
        <v>13732602044</v>
      </c>
      <c r="H24" s="68">
        <v>347553680</v>
      </c>
      <c r="I24" s="68"/>
      <c r="J24" s="68"/>
      <c r="K24" s="68" t="s">
        <v>432</v>
      </c>
      <c r="L24" s="68" t="s">
        <v>432</v>
      </c>
      <c r="M24" s="68" t="s">
        <v>499</v>
      </c>
      <c r="N24" s="68" t="s">
        <v>432</v>
      </c>
      <c r="O24" s="68" t="s">
        <v>432</v>
      </c>
      <c r="P24" s="68"/>
      <c r="Q24" s="68"/>
      <c r="R24" s="68"/>
      <c r="S24" s="68"/>
      <c r="T24" s="68"/>
      <c r="U24" s="68"/>
    </row>
    <row r="25" spans="1:21" x14ac:dyDescent="0.15">
      <c r="A25" s="68" t="s">
        <v>545</v>
      </c>
      <c r="B25" s="68" t="s">
        <v>461</v>
      </c>
      <c r="C25" s="68" t="s">
        <v>434</v>
      </c>
      <c r="D25" s="68" t="s">
        <v>442</v>
      </c>
      <c r="E25" s="68"/>
      <c r="F25" s="120" t="s">
        <v>771</v>
      </c>
      <c r="G25" s="68">
        <v>13862241060</v>
      </c>
      <c r="H25" s="68">
        <v>438789461</v>
      </c>
      <c r="I25" s="68"/>
      <c r="J25" s="68"/>
      <c r="K25" s="68" t="s">
        <v>432</v>
      </c>
      <c r="L25" s="68" t="s">
        <v>432</v>
      </c>
      <c r="M25" s="68" t="s">
        <v>499</v>
      </c>
      <c r="N25" s="68" t="s">
        <v>432</v>
      </c>
      <c r="O25" s="68" t="s">
        <v>432</v>
      </c>
      <c r="P25" s="68"/>
      <c r="Q25" s="68"/>
      <c r="R25" s="68"/>
      <c r="S25" s="68"/>
      <c r="T25" s="68"/>
      <c r="U25" s="68"/>
    </row>
    <row r="26" spans="1:21" x14ac:dyDescent="0.15">
      <c r="A26" s="68" t="s">
        <v>541</v>
      </c>
      <c r="B26" s="68" t="s">
        <v>462</v>
      </c>
      <c r="C26" s="68" t="s">
        <v>439</v>
      </c>
      <c r="D26" s="68" t="s">
        <v>441</v>
      </c>
      <c r="E26" s="68"/>
      <c r="F26" s="120" t="s">
        <v>770</v>
      </c>
      <c r="G26" s="68">
        <v>13814945416</v>
      </c>
      <c r="H26" s="68">
        <v>462702000</v>
      </c>
      <c r="I26" s="68"/>
      <c r="J26" s="68"/>
      <c r="K26" s="68" t="s">
        <v>432</v>
      </c>
      <c r="L26" s="68" t="s">
        <v>432</v>
      </c>
      <c r="M26" s="68"/>
      <c r="N26" s="68" t="s">
        <v>432</v>
      </c>
      <c r="O26" s="68" t="s">
        <v>432</v>
      </c>
      <c r="P26" s="68"/>
      <c r="Q26" s="68"/>
      <c r="R26" s="68"/>
      <c r="S26" s="68"/>
      <c r="T26" s="68"/>
      <c r="U26" s="68"/>
    </row>
    <row r="27" spans="1:21" x14ac:dyDescent="0.15">
      <c r="A27" s="68" t="s">
        <v>546</v>
      </c>
      <c r="B27" s="68" t="s">
        <v>463</v>
      </c>
      <c r="C27" s="68" t="s">
        <v>439</v>
      </c>
      <c r="D27" s="68" t="s">
        <v>441</v>
      </c>
      <c r="E27" s="68"/>
      <c r="F27" s="120" t="s">
        <v>743</v>
      </c>
      <c r="G27" s="68">
        <v>13815281341</v>
      </c>
      <c r="H27" s="68">
        <v>21842004</v>
      </c>
      <c r="I27" s="68" t="s">
        <v>584</v>
      </c>
      <c r="J27" s="68"/>
      <c r="K27" s="68" t="s">
        <v>432</v>
      </c>
      <c r="L27" s="68" t="s">
        <v>432</v>
      </c>
      <c r="M27" s="68"/>
      <c r="N27" s="68" t="s">
        <v>432</v>
      </c>
      <c r="O27" s="68" t="s">
        <v>432</v>
      </c>
      <c r="P27" s="68"/>
      <c r="Q27" s="68"/>
      <c r="R27" s="68"/>
      <c r="S27" s="68"/>
      <c r="T27" s="68" t="s">
        <v>510</v>
      </c>
      <c r="U27" s="68"/>
    </row>
    <row r="28" spans="1:21" x14ac:dyDescent="0.15">
      <c r="A28" s="68" t="s">
        <v>547</v>
      </c>
      <c r="B28" s="68" t="s">
        <v>464</v>
      </c>
      <c r="C28" s="68" t="s">
        <v>439</v>
      </c>
      <c r="D28" s="68" t="s">
        <v>442</v>
      </c>
      <c r="E28" s="68"/>
      <c r="F28" s="120" t="s">
        <v>746</v>
      </c>
      <c r="G28" s="68">
        <v>13814969162</v>
      </c>
      <c r="H28" s="68">
        <v>23610666</v>
      </c>
      <c r="I28" s="68"/>
      <c r="J28" s="68"/>
      <c r="K28" s="68" t="s">
        <v>432</v>
      </c>
      <c r="L28" s="68" t="s">
        <v>432</v>
      </c>
      <c r="M28" s="68"/>
      <c r="N28" s="68" t="s">
        <v>432</v>
      </c>
      <c r="O28" s="68" t="s">
        <v>432</v>
      </c>
      <c r="P28" s="68"/>
      <c r="Q28" s="68"/>
      <c r="R28" s="68"/>
      <c r="S28" s="68"/>
      <c r="T28" s="68"/>
      <c r="U28" s="68"/>
    </row>
    <row r="29" spans="1:21" x14ac:dyDescent="0.15">
      <c r="A29" s="68" t="s">
        <v>548</v>
      </c>
      <c r="B29" s="68" t="s">
        <v>465</v>
      </c>
      <c r="C29" s="68" t="s">
        <v>439</v>
      </c>
      <c r="D29" s="68" t="s">
        <v>437</v>
      </c>
      <c r="E29" s="68"/>
      <c r="F29" s="120" t="s">
        <v>729</v>
      </c>
      <c r="G29" s="68">
        <v>13814910499</v>
      </c>
      <c r="H29" s="68">
        <v>1160618960</v>
      </c>
      <c r="I29" s="68"/>
      <c r="J29" s="68"/>
      <c r="K29" s="68" t="s">
        <v>432</v>
      </c>
      <c r="L29" s="68"/>
      <c r="M29" s="68"/>
      <c r="N29" s="68" t="s">
        <v>432</v>
      </c>
      <c r="O29" s="68" t="s">
        <v>432</v>
      </c>
      <c r="P29" s="68"/>
      <c r="Q29" s="68"/>
      <c r="R29" s="68"/>
      <c r="S29" s="68"/>
      <c r="T29" s="68"/>
      <c r="U29" s="68"/>
    </row>
    <row r="30" spans="1:21" x14ac:dyDescent="0.15">
      <c r="A30" s="68" t="s">
        <v>549</v>
      </c>
      <c r="B30" s="68" t="s">
        <v>466</v>
      </c>
      <c r="C30" s="68" t="s">
        <v>439</v>
      </c>
      <c r="D30" s="68" t="s">
        <v>442</v>
      </c>
      <c r="E30" s="68"/>
      <c r="F30" s="120" t="s">
        <v>769</v>
      </c>
      <c r="G30" s="68">
        <v>15962309970</v>
      </c>
      <c r="H30" s="68">
        <v>754476292</v>
      </c>
      <c r="I30" s="68"/>
      <c r="J30" s="68"/>
      <c r="K30" s="68" t="s">
        <v>432</v>
      </c>
      <c r="L30" s="68" t="s">
        <v>432</v>
      </c>
      <c r="M30" s="68" t="s">
        <v>499</v>
      </c>
      <c r="N30" s="68" t="s">
        <v>432</v>
      </c>
      <c r="O30" s="68" t="s">
        <v>432</v>
      </c>
      <c r="P30" s="68"/>
      <c r="Q30" s="68"/>
      <c r="R30" s="68"/>
      <c r="S30" s="68"/>
      <c r="T30" s="68"/>
      <c r="U30" s="68"/>
    </row>
    <row r="31" spans="1:21" x14ac:dyDescent="0.15">
      <c r="A31" s="68" t="s">
        <v>550</v>
      </c>
      <c r="B31" s="68" t="s">
        <v>467</v>
      </c>
      <c r="C31" s="68" t="s">
        <v>439</v>
      </c>
      <c r="D31" s="68" t="s">
        <v>442</v>
      </c>
      <c r="E31" s="68"/>
      <c r="F31" s="120" t="s">
        <v>745</v>
      </c>
      <c r="G31" s="68">
        <v>13814963611</v>
      </c>
      <c r="H31" s="68">
        <v>396700095</v>
      </c>
      <c r="I31" s="68"/>
      <c r="J31" s="68"/>
      <c r="K31" s="68" t="s">
        <v>432</v>
      </c>
      <c r="L31" s="68" t="s">
        <v>432</v>
      </c>
      <c r="M31" s="68"/>
      <c r="N31" s="68" t="s">
        <v>432</v>
      </c>
      <c r="O31" s="68" t="s">
        <v>432</v>
      </c>
      <c r="P31" s="68"/>
      <c r="Q31" s="68"/>
      <c r="R31" s="68"/>
      <c r="S31" s="68"/>
      <c r="T31" s="68"/>
      <c r="U31" s="68"/>
    </row>
    <row r="32" spans="1:21" x14ac:dyDescent="0.15">
      <c r="A32" s="68" t="s">
        <v>551</v>
      </c>
      <c r="B32" s="68" t="s">
        <v>468</v>
      </c>
      <c r="C32" s="68" t="s">
        <v>434</v>
      </c>
      <c r="D32" s="68" t="s">
        <v>437</v>
      </c>
      <c r="E32" s="68"/>
      <c r="F32" s="120" t="s">
        <v>735</v>
      </c>
      <c r="G32" s="68">
        <v>15606238803</v>
      </c>
      <c r="H32" s="68">
        <v>363117983</v>
      </c>
      <c r="I32" s="68"/>
      <c r="J32" s="68"/>
      <c r="K32" s="68" t="s">
        <v>432</v>
      </c>
      <c r="L32" s="68"/>
      <c r="M32" s="68"/>
      <c r="N32" s="68" t="s">
        <v>432</v>
      </c>
      <c r="O32" s="68" t="s">
        <v>432</v>
      </c>
      <c r="P32" s="68"/>
      <c r="Q32" s="68"/>
      <c r="R32" s="68"/>
      <c r="S32" s="68"/>
      <c r="T32" s="68"/>
      <c r="U32" s="68"/>
    </row>
    <row r="33" spans="1:21" x14ac:dyDescent="0.15">
      <c r="A33" s="73" t="s">
        <v>552</v>
      </c>
      <c r="B33" s="73" t="s">
        <v>469</v>
      </c>
      <c r="C33" s="73" t="s">
        <v>439</v>
      </c>
      <c r="D33" s="72"/>
      <c r="E33" s="72"/>
      <c r="F33" s="125" t="s">
        <v>767</v>
      </c>
      <c r="G33" s="68">
        <v>13814956690</v>
      </c>
      <c r="H33" s="68">
        <v>51285291</v>
      </c>
      <c r="I33" s="68"/>
      <c r="J33" s="68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</row>
    <row r="34" spans="1:21" x14ac:dyDescent="0.15">
      <c r="A34" s="85" t="s">
        <v>553</v>
      </c>
      <c r="B34" s="68" t="s">
        <v>470</v>
      </c>
      <c r="C34" s="68" t="s">
        <v>439</v>
      </c>
      <c r="D34" s="68" t="s">
        <v>442</v>
      </c>
      <c r="E34" s="68"/>
      <c r="F34" s="120" t="s">
        <v>751</v>
      </c>
      <c r="G34" s="68">
        <v>13812809326</v>
      </c>
      <c r="H34" s="68">
        <v>826669484</v>
      </c>
      <c r="I34" s="68"/>
      <c r="J34" s="68"/>
      <c r="K34" s="68" t="s">
        <v>432</v>
      </c>
      <c r="L34" s="68"/>
      <c r="M34" s="68"/>
      <c r="N34" s="68" t="s">
        <v>432</v>
      </c>
      <c r="O34" s="68" t="s">
        <v>432</v>
      </c>
      <c r="P34" s="68"/>
      <c r="Q34" s="68"/>
      <c r="R34" s="68"/>
      <c r="S34" s="68"/>
      <c r="T34" s="68"/>
      <c r="U34" s="68"/>
    </row>
    <row r="35" spans="1:21" x14ac:dyDescent="0.15">
      <c r="A35" s="85" t="s">
        <v>554</v>
      </c>
      <c r="B35" s="68" t="s">
        <v>471</v>
      </c>
      <c r="C35" s="68" t="s">
        <v>439</v>
      </c>
      <c r="D35" s="68" t="s">
        <v>442</v>
      </c>
      <c r="E35" s="68"/>
      <c r="F35" s="68"/>
      <c r="G35" s="68">
        <v>13584361813</v>
      </c>
      <c r="H35" s="68">
        <v>772734412</v>
      </c>
      <c r="I35" s="68" t="s">
        <v>583</v>
      </c>
      <c r="J35" s="68"/>
      <c r="K35" s="68" t="s">
        <v>432</v>
      </c>
      <c r="L35" s="68" t="s">
        <v>432</v>
      </c>
      <c r="M35" s="68"/>
      <c r="N35" s="68" t="s">
        <v>432</v>
      </c>
      <c r="O35" s="68" t="s">
        <v>432</v>
      </c>
      <c r="P35" s="68"/>
      <c r="Q35" s="68"/>
      <c r="R35" s="68"/>
      <c r="S35" s="68"/>
      <c r="T35" s="68"/>
      <c r="U35" s="68"/>
    </row>
    <row r="36" spans="1:21" x14ac:dyDescent="0.15">
      <c r="A36" s="85" t="s">
        <v>555</v>
      </c>
      <c r="B36" s="68" t="s">
        <v>472</v>
      </c>
      <c r="C36" s="68" t="s">
        <v>439</v>
      </c>
      <c r="D36" s="68" t="s">
        <v>442</v>
      </c>
      <c r="E36" s="68"/>
      <c r="F36" s="120" t="s">
        <v>727</v>
      </c>
      <c r="G36" s="68">
        <v>13814963695</v>
      </c>
      <c r="H36" s="68">
        <v>417593965</v>
      </c>
      <c r="I36" s="68"/>
      <c r="J36" s="68"/>
      <c r="K36" s="68" t="s">
        <v>432</v>
      </c>
      <c r="L36" s="68" t="s">
        <v>432</v>
      </c>
      <c r="M36" s="68"/>
      <c r="N36" s="68" t="s">
        <v>432</v>
      </c>
      <c r="O36" s="68" t="s">
        <v>432</v>
      </c>
      <c r="P36" s="68"/>
      <c r="Q36" s="68"/>
      <c r="R36" s="68"/>
      <c r="S36" s="68"/>
      <c r="T36" s="68"/>
      <c r="U36" s="68"/>
    </row>
    <row r="37" spans="1:21" x14ac:dyDescent="0.15">
      <c r="A37" s="85" t="s">
        <v>557</v>
      </c>
      <c r="B37" s="68" t="s">
        <v>473</v>
      </c>
      <c r="C37" s="68" t="s">
        <v>434</v>
      </c>
      <c r="D37" s="68" t="s">
        <v>437</v>
      </c>
      <c r="E37" s="68"/>
      <c r="F37" s="120" t="s">
        <v>742</v>
      </c>
      <c r="G37" s="68">
        <v>13814970657</v>
      </c>
      <c r="H37" s="68">
        <v>347365592</v>
      </c>
      <c r="I37" s="68"/>
      <c r="J37" s="68"/>
      <c r="K37" s="68" t="s">
        <v>432</v>
      </c>
      <c r="L37" s="68"/>
      <c r="M37" s="68"/>
      <c r="N37" s="68" t="s">
        <v>432</v>
      </c>
      <c r="O37" s="68" t="s">
        <v>432</v>
      </c>
      <c r="P37" s="68"/>
      <c r="Q37" s="68"/>
      <c r="R37" s="68"/>
      <c r="S37" s="68"/>
      <c r="T37" s="68"/>
      <c r="U37" s="68"/>
    </row>
    <row r="38" spans="1:21" x14ac:dyDescent="0.15">
      <c r="A38" s="85" t="s">
        <v>558</v>
      </c>
      <c r="B38" s="68" t="s">
        <v>474</v>
      </c>
      <c r="C38" s="68" t="s">
        <v>439</v>
      </c>
      <c r="D38" s="68" t="s">
        <v>442</v>
      </c>
      <c r="E38" s="68"/>
      <c r="F38" s="120" t="s">
        <v>768</v>
      </c>
      <c r="G38" s="68">
        <v>15895607175</v>
      </c>
      <c r="H38" s="68">
        <v>786580958</v>
      </c>
      <c r="I38" s="68"/>
      <c r="J38" s="68"/>
      <c r="K38" s="68" t="s">
        <v>432</v>
      </c>
      <c r="L38" s="68" t="s">
        <v>432</v>
      </c>
      <c r="M38" s="68" t="s">
        <v>499</v>
      </c>
      <c r="N38" s="68" t="s">
        <v>432</v>
      </c>
      <c r="O38" s="68" t="s">
        <v>432</v>
      </c>
      <c r="P38" s="68"/>
      <c r="Q38" s="68"/>
      <c r="R38" s="68"/>
      <c r="S38" s="68"/>
      <c r="T38" s="68"/>
      <c r="U38" s="68"/>
    </row>
    <row r="39" spans="1:21" x14ac:dyDescent="0.15">
      <c r="A39" s="85" t="s">
        <v>559</v>
      </c>
      <c r="B39" s="68" t="s">
        <v>475</v>
      </c>
      <c r="C39" s="68" t="s">
        <v>439</v>
      </c>
      <c r="D39" s="68" t="s">
        <v>441</v>
      </c>
      <c r="E39" s="68"/>
      <c r="F39" s="120" t="s">
        <v>725</v>
      </c>
      <c r="G39" s="68">
        <v>13913089931</v>
      </c>
      <c r="H39" s="68">
        <v>317412590</v>
      </c>
      <c r="I39" s="68"/>
      <c r="J39" s="68"/>
      <c r="K39" s="68" t="s">
        <v>432</v>
      </c>
      <c r="L39" s="68" t="s">
        <v>432</v>
      </c>
      <c r="M39" s="68"/>
      <c r="N39" s="68" t="s">
        <v>432</v>
      </c>
      <c r="O39" s="68" t="s">
        <v>432</v>
      </c>
      <c r="P39" s="68"/>
      <c r="Q39" s="68"/>
      <c r="R39" s="68"/>
      <c r="S39" s="68"/>
      <c r="T39" s="68"/>
      <c r="U39" s="68"/>
    </row>
    <row r="40" spans="1:21" x14ac:dyDescent="0.15">
      <c r="A40" s="85" t="s">
        <v>560</v>
      </c>
      <c r="B40" s="68" t="s">
        <v>476</v>
      </c>
      <c r="C40" s="68" t="s">
        <v>439</v>
      </c>
      <c r="D40" s="68" t="s">
        <v>442</v>
      </c>
      <c r="E40" s="68"/>
      <c r="F40" s="120" t="s">
        <v>749</v>
      </c>
      <c r="G40" s="68">
        <v>13814981037</v>
      </c>
      <c r="H40" s="68">
        <v>742711893</v>
      </c>
      <c r="I40" s="68"/>
      <c r="J40" s="68"/>
      <c r="K40" s="68" t="s">
        <v>432</v>
      </c>
      <c r="L40" s="68" t="s">
        <v>432</v>
      </c>
      <c r="M40" s="68"/>
      <c r="N40" s="68" t="s">
        <v>432</v>
      </c>
      <c r="O40" s="68" t="s">
        <v>432</v>
      </c>
      <c r="P40" s="68"/>
      <c r="Q40" s="68"/>
      <c r="R40" s="68"/>
      <c r="S40" s="68"/>
      <c r="T40" s="68"/>
      <c r="U40" s="68"/>
    </row>
    <row r="41" spans="1:21" x14ac:dyDescent="0.15">
      <c r="A41" s="85" t="s">
        <v>561</v>
      </c>
      <c r="B41" s="68" t="s">
        <v>477</v>
      </c>
      <c r="C41" s="68" t="s">
        <v>439</v>
      </c>
      <c r="D41" s="68" t="s">
        <v>442</v>
      </c>
      <c r="E41" s="68"/>
      <c r="F41" s="120" t="s">
        <v>730</v>
      </c>
      <c r="G41" s="68">
        <v>15859841152</v>
      </c>
      <c r="H41" s="68">
        <v>470626715</v>
      </c>
      <c r="I41" s="68"/>
      <c r="J41" s="68"/>
      <c r="K41" s="68" t="s">
        <v>432</v>
      </c>
      <c r="L41" s="68" t="s">
        <v>432</v>
      </c>
      <c r="M41" s="68"/>
      <c r="N41" s="68" t="s">
        <v>432</v>
      </c>
      <c r="O41" s="68" t="s">
        <v>432</v>
      </c>
      <c r="P41" s="68"/>
      <c r="Q41" s="68"/>
      <c r="R41" s="68"/>
      <c r="S41" s="68"/>
      <c r="T41" s="68"/>
      <c r="U41" s="68"/>
    </row>
    <row r="42" spans="1:21" x14ac:dyDescent="0.15">
      <c r="A42" s="85" t="s">
        <v>562</v>
      </c>
      <c r="B42" s="68" t="s">
        <v>478</v>
      </c>
      <c r="C42" s="68" t="s">
        <v>439</v>
      </c>
      <c r="D42" s="68" t="s">
        <v>441</v>
      </c>
      <c r="E42" s="68"/>
      <c r="F42" s="120" t="s">
        <v>724</v>
      </c>
      <c r="G42" s="68">
        <v>13915627084</v>
      </c>
      <c r="H42" s="68">
        <v>875994439</v>
      </c>
      <c r="I42" s="68" t="s">
        <v>596</v>
      </c>
      <c r="J42" s="68"/>
      <c r="K42" s="68" t="s">
        <v>432</v>
      </c>
      <c r="L42" s="68" t="s">
        <v>432</v>
      </c>
      <c r="M42" s="68"/>
      <c r="N42" s="68" t="s">
        <v>432</v>
      </c>
      <c r="O42" s="68" t="s">
        <v>432</v>
      </c>
      <c r="P42" s="68"/>
      <c r="Q42" s="68"/>
      <c r="R42" s="68"/>
      <c r="S42" s="68"/>
      <c r="T42" s="68"/>
      <c r="U42" s="68"/>
    </row>
    <row r="43" spans="1:21" x14ac:dyDescent="0.15">
      <c r="A43" s="85" t="s">
        <v>563</v>
      </c>
      <c r="B43" s="68" t="s">
        <v>479</v>
      </c>
      <c r="C43" s="68" t="s">
        <v>439</v>
      </c>
      <c r="D43" s="68" t="s">
        <v>441</v>
      </c>
      <c r="E43" s="68"/>
      <c r="F43" s="120" t="s">
        <v>744</v>
      </c>
      <c r="G43" s="68">
        <v>15862142199</v>
      </c>
      <c r="H43" s="68">
        <v>433937024</v>
      </c>
      <c r="I43" s="68"/>
      <c r="J43" s="68"/>
      <c r="K43" s="68" t="s">
        <v>432</v>
      </c>
      <c r="L43" s="68" t="s">
        <v>432</v>
      </c>
      <c r="M43" s="68"/>
      <c r="N43" s="68" t="s">
        <v>432</v>
      </c>
      <c r="O43" s="68" t="s">
        <v>432</v>
      </c>
      <c r="P43" s="68"/>
      <c r="Q43" s="68"/>
      <c r="R43" s="68"/>
      <c r="S43" s="68"/>
      <c r="T43" s="68" t="s">
        <v>510</v>
      </c>
      <c r="U43" s="68"/>
    </row>
    <row r="44" spans="1:21" x14ac:dyDescent="0.15">
      <c r="A44" s="85" t="s">
        <v>564</v>
      </c>
      <c r="B44" s="68" t="s">
        <v>480</v>
      </c>
      <c r="C44" s="68" t="s">
        <v>439</v>
      </c>
      <c r="D44" s="68" t="s">
        <v>437</v>
      </c>
      <c r="E44" s="68"/>
      <c r="F44" s="120" t="s">
        <v>739</v>
      </c>
      <c r="G44" s="68">
        <v>13814930884</v>
      </c>
      <c r="H44" s="68">
        <v>605364831</v>
      </c>
      <c r="I44" s="68"/>
      <c r="J44" s="68"/>
      <c r="K44" s="68" t="s">
        <v>432</v>
      </c>
      <c r="L44" s="68" t="s">
        <v>432</v>
      </c>
      <c r="M44" s="68"/>
      <c r="N44" s="68" t="s">
        <v>432</v>
      </c>
      <c r="O44" s="68" t="s">
        <v>432</v>
      </c>
      <c r="P44" s="68"/>
      <c r="Q44" s="68"/>
      <c r="R44" s="68"/>
      <c r="S44" s="68"/>
      <c r="T44" s="68"/>
      <c r="U44" s="68"/>
    </row>
    <row r="45" spans="1:21" x14ac:dyDescent="0.15">
      <c r="A45" s="85" t="s">
        <v>565</v>
      </c>
      <c r="B45" s="70" t="s">
        <v>502</v>
      </c>
      <c r="C45" s="68" t="s">
        <v>439</v>
      </c>
      <c r="D45" s="68" t="s">
        <v>442</v>
      </c>
      <c r="E45" s="68"/>
      <c r="F45" s="120" t="s">
        <v>736</v>
      </c>
      <c r="G45" s="68">
        <v>13814923510</v>
      </c>
      <c r="H45" s="68">
        <v>459693264</v>
      </c>
      <c r="I45" s="68"/>
      <c r="J45" s="68"/>
      <c r="K45" s="68" t="s">
        <v>432</v>
      </c>
      <c r="L45" s="68"/>
      <c r="M45" s="68"/>
      <c r="N45" s="68" t="s">
        <v>432</v>
      </c>
      <c r="O45" s="68" t="s">
        <v>432</v>
      </c>
      <c r="P45" s="68"/>
      <c r="Q45" s="68"/>
      <c r="R45" s="68"/>
      <c r="S45" s="68"/>
      <c r="T45" s="68"/>
      <c r="U45" s="68"/>
    </row>
    <row r="46" spans="1:21" x14ac:dyDescent="0.15">
      <c r="A46" s="85" t="s">
        <v>566</v>
      </c>
      <c r="B46" s="68" t="s">
        <v>481</v>
      </c>
      <c r="C46" s="68" t="s">
        <v>439</v>
      </c>
      <c r="D46" s="68" t="s">
        <v>442</v>
      </c>
      <c r="E46" s="68"/>
      <c r="F46" s="120" t="s">
        <v>765</v>
      </c>
      <c r="G46" s="68">
        <v>13814943251</v>
      </c>
      <c r="H46" s="68">
        <v>865497689</v>
      </c>
      <c r="I46" s="68"/>
      <c r="J46" s="68"/>
      <c r="K46" s="68" t="s">
        <v>432</v>
      </c>
      <c r="L46" s="68" t="s">
        <v>432</v>
      </c>
      <c r="M46" s="68" t="s">
        <v>499</v>
      </c>
      <c r="N46" s="68" t="s">
        <v>432</v>
      </c>
      <c r="O46" s="68" t="s">
        <v>432</v>
      </c>
      <c r="P46" s="68"/>
      <c r="Q46" s="68"/>
      <c r="R46" s="68"/>
      <c r="S46" s="68"/>
      <c r="T46" s="68"/>
      <c r="U46" s="68"/>
    </row>
    <row r="47" spans="1:21" x14ac:dyDescent="0.15">
      <c r="A47" s="85" t="s">
        <v>567</v>
      </c>
      <c r="B47" s="68" t="s">
        <v>482</v>
      </c>
      <c r="C47" s="68" t="s">
        <v>434</v>
      </c>
      <c r="D47" s="68" t="s">
        <v>437</v>
      </c>
      <c r="E47" s="68"/>
      <c r="F47" s="120" t="s">
        <v>761</v>
      </c>
      <c r="G47" s="68">
        <v>15606238809</v>
      </c>
      <c r="H47" s="68">
        <v>445131674</v>
      </c>
      <c r="I47" s="68"/>
      <c r="J47" s="68"/>
      <c r="K47" s="68" t="s">
        <v>432</v>
      </c>
      <c r="L47" s="68"/>
      <c r="M47" s="68"/>
      <c r="N47" s="68" t="s">
        <v>432</v>
      </c>
      <c r="O47" s="68" t="s">
        <v>432</v>
      </c>
      <c r="P47" s="68"/>
      <c r="Q47" s="68"/>
      <c r="R47" s="68"/>
      <c r="S47" s="68"/>
      <c r="T47" s="68"/>
      <c r="U47" s="68"/>
    </row>
    <row r="48" spans="1:21" s="124" customFormat="1" x14ac:dyDescent="0.15">
      <c r="A48" s="121" t="s">
        <v>568</v>
      </c>
      <c r="B48" s="122" t="s">
        <v>483</v>
      </c>
      <c r="C48" s="122" t="s">
        <v>439</v>
      </c>
      <c r="D48" s="122"/>
      <c r="E48" s="122"/>
      <c r="F48" s="123" t="s">
        <v>731</v>
      </c>
      <c r="G48" s="122">
        <v>15850820564</v>
      </c>
      <c r="H48" s="122">
        <v>806795152</v>
      </c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</row>
    <row r="49" spans="1:21" x14ac:dyDescent="0.15">
      <c r="A49" s="85" t="s">
        <v>569</v>
      </c>
      <c r="B49" s="68" t="s">
        <v>484</v>
      </c>
      <c r="C49" s="68" t="s">
        <v>434</v>
      </c>
      <c r="D49" s="68" t="s">
        <v>437</v>
      </c>
      <c r="E49" s="68"/>
      <c r="F49" s="68"/>
      <c r="G49" s="68">
        <v>13814970682</v>
      </c>
      <c r="H49" s="68">
        <v>434459588</v>
      </c>
      <c r="I49" s="68"/>
      <c r="J49" s="68"/>
      <c r="K49" s="68" t="s">
        <v>432</v>
      </c>
      <c r="L49" s="68"/>
      <c r="M49" s="68"/>
      <c r="N49" s="68" t="s">
        <v>432</v>
      </c>
      <c r="O49" s="68" t="s">
        <v>432</v>
      </c>
      <c r="P49" s="68"/>
      <c r="Q49" s="68"/>
      <c r="R49" s="68"/>
      <c r="S49" s="68"/>
      <c r="T49" s="68"/>
      <c r="U49" s="68"/>
    </row>
    <row r="50" spans="1:21" x14ac:dyDescent="0.15">
      <c r="A50" s="85" t="s">
        <v>570</v>
      </c>
      <c r="B50" s="68" t="s">
        <v>485</v>
      </c>
      <c r="C50" s="68" t="s">
        <v>434</v>
      </c>
      <c r="D50" s="68" t="s">
        <v>442</v>
      </c>
      <c r="E50" s="68"/>
      <c r="F50" s="68"/>
      <c r="G50" s="68">
        <v>15895606756</v>
      </c>
      <c r="H50" s="68">
        <v>543932218</v>
      </c>
      <c r="I50" s="68"/>
      <c r="J50" s="68"/>
      <c r="K50" s="68" t="s">
        <v>432</v>
      </c>
      <c r="L50" s="68" t="s">
        <v>432</v>
      </c>
      <c r="M50" s="68"/>
      <c r="N50" s="68" t="s">
        <v>432</v>
      </c>
      <c r="O50" s="68" t="s">
        <v>432</v>
      </c>
      <c r="P50" s="68"/>
      <c r="Q50" s="68"/>
      <c r="R50" s="68"/>
      <c r="S50" s="68" t="s">
        <v>500</v>
      </c>
      <c r="T50" s="68"/>
      <c r="U50" s="68"/>
    </row>
    <row r="51" spans="1:21" ht="14.25" x14ac:dyDescent="0.15">
      <c r="A51" s="85" t="s">
        <v>571</v>
      </c>
      <c r="B51" s="68" t="s">
        <v>486</v>
      </c>
      <c r="C51" s="68" t="s">
        <v>439</v>
      </c>
      <c r="D51" s="68" t="s">
        <v>437</v>
      </c>
      <c r="E51" s="68"/>
      <c r="F51" s="120" t="s">
        <v>728</v>
      </c>
      <c r="G51" s="68">
        <v>13814900951</v>
      </c>
      <c r="H51" s="68">
        <v>478877726</v>
      </c>
      <c r="I51" s="88" t="s">
        <v>583</v>
      </c>
      <c r="J51" s="88"/>
      <c r="K51" s="68" t="s">
        <v>432</v>
      </c>
      <c r="L51" s="68"/>
      <c r="M51" s="68"/>
      <c r="N51" s="68" t="s">
        <v>432</v>
      </c>
      <c r="O51" s="68" t="s">
        <v>432</v>
      </c>
      <c r="P51" s="68"/>
      <c r="Q51" s="68"/>
      <c r="R51" s="68"/>
      <c r="S51" s="68"/>
      <c r="T51" s="68"/>
      <c r="U51" s="68"/>
    </row>
    <row r="52" spans="1:21" ht="14.25" x14ac:dyDescent="0.15">
      <c r="A52" s="85" t="s">
        <v>572</v>
      </c>
      <c r="B52" s="68" t="s">
        <v>487</v>
      </c>
      <c r="C52" s="68" t="s">
        <v>439</v>
      </c>
      <c r="D52" s="68" t="s">
        <v>442</v>
      </c>
      <c r="E52" s="68"/>
      <c r="F52" s="68"/>
      <c r="G52" s="68">
        <v>15895606929</v>
      </c>
      <c r="H52" s="68">
        <v>3058985</v>
      </c>
      <c r="I52" s="87"/>
      <c r="J52" s="87"/>
      <c r="K52" s="68" t="s">
        <v>432</v>
      </c>
      <c r="L52" s="68" t="s">
        <v>432</v>
      </c>
      <c r="M52" s="68"/>
      <c r="N52" s="68" t="s">
        <v>432</v>
      </c>
      <c r="O52" s="68" t="s">
        <v>432</v>
      </c>
      <c r="P52" s="68" t="s">
        <v>432</v>
      </c>
      <c r="Q52" s="68"/>
      <c r="R52" s="68"/>
      <c r="S52" s="68"/>
      <c r="T52" s="68"/>
      <c r="U52" s="68"/>
    </row>
    <row r="53" spans="1:21" ht="14.25" x14ac:dyDescent="0.15">
      <c r="A53" s="85" t="s">
        <v>573</v>
      </c>
      <c r="B53" s="68" t="s">
        <v>488</v>
      </c>
      <c r="C53" s="68" t="s">
        <v>434</v>
      </c>
      <c r="D53" s="68" t="s">
        <v>437</v>
      </c>
      <c r="E53" s="68"/>
      <c r="F53" s="120" t="s">
        <v>754</v>
      </c>
      <c r="G53" s="68">
        <v>13814948964</v>
      </c>
      <c r="H53" s="68">
        <v>872387079</v>
      </c>
      <c r="I53" s="88" t="s">
        <v>584</v>
      </c>
      <c r="J53" s="88"/>
      <c r="K53" s="68" t="s">
        <v>432</v>
      </c>
      <c r="L53" s="68"/>
      <c r="M53" s="68"/>
      <c r="N53" s="68" t="s">
        <v>432</v>
      </c>
      <c r="O53" s="68" t="s">
        <v>432</v>
      </c>
      <c r="P53" s="68"/>
      <c r="Q53" s="68"/>
      <c r="R53" s="68"/>
      <c r="S53" s="68"/>
      <c r="T53" s="68" t="s">
        <v>509</v>
      </c>
      <c r="U53" s="68"/>
    </row>
    <row r="54" spans="1:21" x14ac:dyDescent="0.15">
      <c r="A54" s="85" t="s">
        <v>574</v>
      </c>
      <c r="B54" s="68" t="s">
        <v>489</v>
      </c>
      <c r="C54" s="68" t="s">
        <v>434</v>
      </c>
      <c r="D54" s="68" t="s">
        <v>437</v>
      </c>
      <c r="E54" s="68"/>
      <c r="F54" s="120" t="s">
        <v>741</v>
      </c>
      <c r="G54" s="68">
        <v>13814920276</v>
      </c>
      <c r="H54" s="68">
        <v>675553846</v>
      </c>
      <c r="I54" s="68"/>
      <c r="J54" s="68"/>
      <c r="K54" s="68" t="s">
        <v>432</v>
      </c>
      <c r="L54" s="68"/>
      <c r="M54" s="68"/>
      <c r="N54" s="68" t="s">
        <v>432</v>
      </c>
      <c r="O54" s="68" t="s">
        <v>432</v>
      </c>
      <c r="P54" s="68"/>
      <c r="Q54" s="68"/>
      <c r="R54" s="68"/>
      <c r="S54" s="68"/>
      <c r="T54" s="68"/>
      <c r="U54" s="68"/>
    </row>
    <row r="55" spans="1:21" x14ac:dyDescent="0.15">
      <c r="A55" s="85" t="s">
        <v>575</v>
      </c>
      <c r="B55" s="68" t="s">
        <v>490</v>
      </c>
      <c r="C55" s="68" t="s">
        <v>439</v>
      </c>
      <c r="D55" s="68" t="s">
        <v>442</v>
      </c>
      <c r="E55" s="68"/>
      <c r="F55" s="120" t="s">
        <v>753</v>
      </c>
      <c r="G55" s="68">
        <v>15851507019</v>
      </c>
      <c r="H55" s="68">
        <v>542448770</v>
      </c>
      <c r="I55" s="68"/>
      <c r="J55" s="68"/>
      <c r="K55" s="68" t="s">
        <v>432</v>
      </c>
      <c r="L55" s="68"/>
      <c r="M55" s="68"/>
      <c r="N55" s="68" t="s">
        <v>432</v>
      </c>
      <c r="O55" s="68" t="s">
        <v>432</v>
      </c>
      <c r="P55" s="68"/>
      <c r="Q55" s="68"/>
      <c r="R55" s="68"/>
      <c r="S55" s="68"/>
      <c r="T55" s="68"/>
      <c r="U55" s="68"/>
    </row>
    <row r="56" spans="1:21" x14ac:dyDescent="0.15">
      <c r="A56" s="85" t="s">
        <v>576</v>
      </c>
      <c r="B56" s="68" t="s">
        <v>491</v>
      </c>
      <c r="C56" s="68" t="s">
        <v>434</v>
      </c>
      <c r="D56" s="68" t="s">
        <v>437</v>
      </c>
      <c r="E56" s="68"/>
      <c r="F56" s="120" t="s">
        <v>756</v>
      </c>
      <c r="G56" s="68">
        <v>15606238788</v>
      </c>
      <c r="H56" s="68">
        <v>527465017</v>
      </c>
      <c r="I56" s="68"/>
      <c r="J56" s="68"/>
      <c r="K56" s="68" t="s">
        <v>432</v>
      </c>
      <c r="L56" s="68"/>
      <c r="M56" s="68"/>
      <c r="N56" s="68" t="s">
        <v>432</v>
      </c>
      <c r="O56" s="68" t="s">
        <v>432</v>
      </c>
      <c r="P56" s="68"/>
      <c r="Q56" s="68"/>
      <c r="R56" s="68"/>
      <c r="S56" s="68"/>
      <c r="T56" s="68"/>
      <c r="U56" s="68"/>
    </row>
    <row r="57" spans="1:21" x14ac:dyDescent="0.15">
      <c r="A57" s="85" t="s">
        <v>577</v>
      </c>
      <c r="B57" s="68" t="s">
        <v>506</v>
      </c>
      <c r="C57" s="68" t="s">
        <v>504</v>
      </c>
      <c r="D57" s="68" t="s">
        <v>441</v>
      </c>
      <c r="E57" s="68"/>
      <c r="F57" s="120" t="s">
        <v>726</v>
      </c>
      <c r="G57" s="68">
        <v>13814988430</v>
      </c>
      <c r="H57" s="68">
        <v>457676553</v>
      </c>
      <c r="I57" s="68"/>
      <c r="J57" s="68"/>
      <c r="K57" s="68" t="s">
        <v>432</v>
      </c>
      <c r="L57" s="68" t="s">
        <v>432</v>
      </c>
      <c r="M57" s="68"/>
      <c r="N57" s="68" t="s">
        <v>432</v>
      </c>
      <c r="O57" s="68" t="s">
        <v>507</v>
      </c>
      <c r="P57" s="68"/>
      <c r="Q57" s="68"/>
      <c r="R57" s="68"/>
      <c r="S57" s="68"/>
      <c r="T57" s="68" t="s">
        <v>510</v>
      </c>
      <c r="U57" s="68"/>
    </row>
    <row r="58" spans="1:21" x14ac:dyDescent="0.15">
      <c r="A58" s="85" t="s">
        <v>578</v>
      </c>
      <c r="B58" s="68" t="s">
        <v>492</v>
      </c>
      <c r="C58" s="68" t="s">
        <v>439</v>
      </c>
      <c r="D58" s="68" t="s">
        <v>442</v>
      </c>
      <c r="E58" s="68"/>
      <c r="F58" s="120" t="s">
        <v>747</v>
      </c>
      <c r="G58" s="68">
        <v>18951091458</v>
      </c>
      <c r="H58" s="68">
        <v>444707380</v>
      </c>
      <c r="I58" s="68"/>
      <c r="J58" s="68"/>
      <c r="K58" s="68" t="s">
        <v>432</v>
      </c>
      <c r="L58" s="68" t="s">
        <v>432</v>
      </c>
      <c r="M58" s="68"/>
      <c r="N58" s="68" t="s">
        <v>432</v>
      </c>
      <c r="O58" s="68" t="s">
        <v>432</v>
      </c>
      <c r="P58" s="68"/>
      <c r="Q58" s="68"/>
      <c r="R58" s="68"/>
      <c r="S58" s="68"/>
      <c r="T58" s="68"/>
      <c r="U58" s="68"/>
    </row>
    <row r="59" spans="1:21" x14ac:dyDescent="0.15">
      <c r="A59" s="85" t="s">
        <v>579</v>
      </c>
      <c r="B59" s="68" t="s">
        <v>493</v>
      </c>
      <c r="C59" s="68" t="s">
        <v>439</v>
      </c>
      <c r="D59" s="68" t="s">
        <v>442</v>
      </c>
      <c r="E59" s="68"/>
      <c r="F59" s="68"/>
      <c r="G59" s="68">
        <v>18962304406</v>
      </c>
      <c r="H59" s="68">
        <v>807139230</v>
      </c>
      <c r="I59" s="68"/>
      <c r="J59" s="68"/>
      <c r="K59" s="68" t="s">
        <v>432</v>
      </c>
      <c r="L59" s="68" t="s">
        <v>432</v>
      </c>
      <c r="M59" s="68" t="s">
        <v>499</v>
      </c>
      <c r="N59" s="68" t="s">
        <v>432</v>
      </c>
      <c r="O59" s="68" t="s">
        <v>432</v>
      </c>
      <c r="P59" s="68"/>
      <c r="Q59" s="68"/>
      <c r="R59" s="68"/>
      <c r="S59" s="68"/>
      <c r="T59" s="68"/>
      <c r="U59" s="68"/>
    </row>
    <row r="60" spans="1:21" x14ac:dyDescent="0.15">
      <c r="A60" s="86" t="s">
        <v>580</v>
      </c>
      <c r="B60" s="69" t="s">
        <v>494</v>
      </c>
      <c r="C60" s="69" t="s">
        <v>439</v>
      </c>
      <c r="D60" s="69"/>
      <c r="E60" s="69"/>
      <c r="F60" s="125" t="s">
        <v>766</v>
      </c>
      <c r="G60" s="68">
        <v>15851500822</v>
      </c>
      <c r="H60" s="68">
        <v>8941511925</v>
      </c>
      <c r="I60" s="69"/>
      <c r="J60" s="69"/>
      <c r="K60" s="69"/>
      <c r="L60" s="69"/>
      <c r="M60" s="69"/>
      <c r="N60" s="69"/>
      <c r="O60" s="69"/>
      <c r="P60" s="69"/>
      <c r="Q60" s="69"/>
      <c r="R60" s="69"/>
      <c r="S60" s="69"/>
      <c r="T60" s="69"/>
      <c r="U60" s="69"/>
    </row>
    <row r="61" spans="1:21" x14ac:dyDescent="0.15">
      <c r="A61" s="85" t="s">
        <v>581</v>
      </c>
      <c r="B61" s="68" t="s">
        <v>495</v>
      </c>
      <c r="C61" s="68" t="s">
        <v>439</v>
      </c>
      <c r="D61" s="68" t="s">
        <v>442</v>
      </c>
      <c r="E61" s="68"/>
      <c r="F61" s="68"/>
      <c r="G61" s="68">
        <v>18913674286</v>
      </c>
      <c r="H61" s="68">
        <v>252288925</v>
      </c>
      <c r="I61" s="68"/>
      <c r="J61" s="68"/>
      <c r="K61" s="68" t="s">
        <v>432</v>
      </c>
      <c r="L61" s="68" t="s">
        <v>432</v>
      </c>
      <c r="M61" s="68" t="s">
        <v>499</v>
      </c>
      <c r="N61" s="68" t="s">
        <v>432</v>
      </c>
      <c r="O61" s="68" t="s">
        <v>432</v>
      </c>
      <c r="P61" s="68"/>
      <c r="Q61" s="68"/>
      <c r="R61" s="68"/>
      <c r="S61" s="68"/>
      <c r="T61" s="68"/>
      <c r="U61" s="68"/>
    </row>
    <row r="62" spans="1:21" x14ac:dyDescent="0.15">
      <c r="A62" s="85" t="s">
        <v>582</v>
      </c>
      <c r="B62" s="68" t="s">
        <v>496</v>
      </c>
      <c r="C62" s="68" t="s">
        <v>439</v>
      </c>
      <c r="D62" s="68" t="s">
        <v>505</v>
      </c>
      <c r="E62" s="68"/>
      <c r="F62" s="68"/>
      <c r="G62" s="68">
        <v>15862494553</v>
      </c>
      <c r="H62" s="68">
        <v>815647110</v>
      </c>
      <c r="I62" s="68"/>
      <c r="J62" s="68"/>
      <c r="K62" s="68" t="s">
        <v>432</v>
      </c>
      <c r="L62" s="68" t="s">
        <v>432</v>
      </c>
      <c r="M62" s="68"/>
      <c r="N62" s="68" t="s">
        <v>432</v>
      </c>
      <c r="O62" s="68" t="s">
        <v>432</v>
      </c>
      <c r="P62" s="68"/>
      <c r="Q62" s="68"/>
      <c r="R62" s="68"/>
      <c r="S62" s="68"/>
      <c r="T62" s="68"/>
      <c r="U62" s="68"/>
    </row>
    <row r="63" spans="1:21" x14ac:dyDescent="0.15">
      <c r="A63" s="68" t="s">
        <v>556</v>
      </c>
      <c r="B63" s="68" t="s">
        <v>503</v>
      </c>
      <c r="C63" s="68" t="s">
        <v>504</v>
      </c>
      <c r="D63" s="68" t="s">
        <v>437</v>
      </c>
      <c r="E63" s="68"/>
      <c r="F63" s="120" t="s">
        <v>755</v>
      </c>
      <c r="G63" s="68">
        <v>13814910155</v>
      </c>
      <c r="H63" s="68">
        <v>704613847</v>
      </c>
      <c r="I63" s="68"/>
      <c r="J63" s="68"/>
      <c r="K63" s="68" t="s">
        <v>432</v>
      </c>
      <c r="L63" s="68"/>
      <c r="M63" s="68"/>
      <c r="N63" s="68" t="s">
        <v>432</v>
      </c>
      <c r="O63" s="68" t="s">
        <v>432</v>
      </c>
      <c r="P63" s="68"/>
      <c r="Q63" s="68"/>
      <c r="R63" s="68"/>
      <c r="S63" s="68"/>
      <c r="T63" s="68"/>
      <c r="U63" s="68"/>
    </row>
  </sheetData>
  <autoFilter ref="A1:U63">
    <filterColumn colId="10" showButton="0"/>
    <filterColumn colId="11" showButton="0"/>
    <filterColumn colId="15" showButton="0"/>
    <filterColumn colId="16" showButton="0"/>
    <filterColumn colId="17" showButton="0"/>
  </autoFilter>
  <mergeCells count="17">
    <mergeCell ref="A1:A2"/>
    <mergeCell ref="B1:B2"/>
    <mergeCell ref="O1:O2"/>
    <mergeCell ref="P1:S1"/>
    <mergeCell ref="C1:C2"/>
    <mergeCell ref="D1:D2"/>
    <mergeCell ref="H1:H2"/>
    <mergeCell ref="G1:G2"/>
    <mergeCell ref="I1:I2"/>
    <mergeCell ref="J1:J2"/>
    <mergeCell ref="F1:F2"/>
    <mergeCell ref="E1:E2"/>
    <mergeCell ref="U1:U2"/>
    <mergeCell ref="K1:M1"/>
    <mergeCell ref="N1:N2"/>
    <mergeCell ref="T1:T2"/>
    <mergeCell ref="V1:V2"/>
  </mergeCells>
  <phoneticPr fontId="2"/>
  <dataValidations count="1">
    <dataValidation type="list" allowBlank="1" showInputMessage="1" showErrorMessage="1" sqref="C58:C62 C3:C56">
      <formula1>"男,女"</formula1>
    </dataValidation>
  </dataValidations>
  <hyperlinks>
    <hyperlink ref="F53" r:id="rId1"/>
    <hyperlink ref="F42" r:id="rId2"/>
    <hyperlink ref="F39" r:id="rId3"/>
    <hyperlink ref="F57" r:id="rId4"/>
    <hyperlink ref="F36" r:id="rId5"/>
    <hyperlink ref="F51" r:id="rId6"/>
    <hyperlink ref="F29" r:id="rId7"/>
    <hyperlink ref="F41" r:id="rId8"/>
    <hyperlink ref="F48" r:id="rId9"/>
    <hyperlink ref="F22" r:id="rId10"/>
    <hyperlink ref="F9" r:id="rId11"/>
    <hyperlink ref="F4" r:id="rId12"/>
    <hyperlink ref="F32" r:id="rId13"/>
    <hyperlink ref="F45" r:id="rId14"/>
    <hyperlink ref="F11" r:id="rId15"/>
    <hyperlink ref="F12" r:id="rId16"/>
    <hyperlink ref="F44" r:id="rId17"/>
    <hyperlink ref="F20" r:id="rId18"/>
    <hyperlink ref="F54" r:id="rId19"/>
    <hyperlink ref="F37" r:id="rId20"/>
    <hyperlink ref="F27" r:id="rId21"/>
    <hyperlink ref="F43" r:id="rId22"/>
    <hyperlink ref="F31" r:id="rId23"/>
    <hyperlink ref="F28" r:id="rId24"/>
    <hyperlink ref="F58" r:id="rId25"/>
    <hyperlink ref="F24" r:id="rId26"/>
    <hyperlink ref="F40" r:id="rId27"/>
    <hyperlink ref="F14" r:id="rId28"/>
    <hyperlink ref="F34" r:id="rId29"/>
    <hyperlink ref="F55" r:id="rId30"/>
    <hyperlink ref="F63" r:id="rId31"/>
    <hyperlink ref="F56" r:id="rId32"/>
    <hyperlink ref="F5" r:id="rId33"/>
    <hyperlink ref="F3" r:id="rId34"/>
    <hyperlink ref="F17" r:id="rId35"/>
    <hyperlink ref="F47" r:id="rId36"/>
    <hyperlink ref="F7" r:id="rId37"/>
    <hyperlink ref="F46" r:id="rId38"/>
    <hyperlink ref="F60" r:id="rId39"/>
    <hyperlink ref="F33" r:id="rId40"/>
    <hyperlink ref="F38" r:id="rId41"/>
    <hyperlink ref="F30" r:id="rId42"/>
    <hyperlink ref="F26" r:id="rId43"/>
    <hyperlink ref="F25" r:id="rId44"/>
  </hyperlinks>
  <pageMargins left="0.7" right="0.7" top="0.75" bottom="0.75" header="0.3" footer="0.3"/>
  <pageSetup paperSize="9" orientation="portrait" r:id="rId45"/>
  <drawing r:id="rId46"/>
  <legacyDrawing r:id="rId47"/>
  <controls>
    <mc:AlternateContent xmlns:mc="http://schemas.openxmlformats.org/markup-compatibility/2006">
      <mc:Choice Requires="x14">
        <control shapeId="1025" r:id="rId48" name="CB_Maillist">
          <controlPr defaultSize="0" autoLine="0" r:id="rId49">
            <anchor moveWithCells="1">
              <from>
                <xdr:col>5</xdr:col>
                <xdr:colOff>1581150</xdr:colOff>
                <xdr:row>0</xdr:row>
                <xdr:rowOff>38100</xdr:rowOff>
              </from>
              <to>
                <xdr:col>5</xdr:col>
                <xdr:colOff>2257425</xdr:colOff>
                <xdr:row>1</xdr:row>
                <xdr:rowOff>152400</xdr:rowOff>
              </to>
            </anchor>
          </controlPr>
        </control>
      </mc:Choice>
      <mc:Fallback>
        <control shapeId="1025" r:id="rId48" name="CB_Maillis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0"/>
  <sheetViews>
    <sheetView workbookViewId="0">
      <selection activeCell="A3" sqref="A3"/>
    </sheetView>
  </sheetViews>
  <sheetFormatPr defaultRowHeight="14.25" x14ac:dyDescent="0.15"/>
  <cols>
    <col min="1" max="8" width="14.625" style="100" customWidth="1"/>
    <col min="9" max="256" width="9" style="100"/>
    <col min="257" max="264" width="14.625" style="100" customWidth="1"/>
    <col min="265" max="512" width="9" style="100"/>
    <col min="513" max="520" width="14.625" style="100" customWidth="1"/>
    <col min="521" max="768" width="9" style="100"/>
    <col min="769" max="776" width="14.625" style="100" customWidth="1"/>
    <col min="777" max="1024" width="9" style="100"/>
    <col min="1025" max="1032" width="14.625" style="100" customWidth="1"/>
    <col min="1033" max="1280" width="9" style="100"/>
    <col min="1281" max="1288" width="14.625" style="100" customWidth="1"/>
    <col min="1289" max="1536" width="9" style="100"/>
    <col min="1537" max="1544" width="14.625" style="100" customWidth="1"/>
    <col min="1545" max="1792" width="9" style="100"/>
    <col min="1793" max="1800" width="14.625" style="100" customWidth="1"/>
    <col min="1801" max="2048" width="9" style="100"/>
    <col min="2049" max="2056" width="14.625" style="100" customWidth="1"/>
    <col min="2057" max="2304" width="9" style="100"/>
    <col min="2305" max="2312" width="14.625" style="100" customWidth="1"/>
    <col min="2313" max="2560" width="9" style="100"/>
    <col min="2561" max="2568" width="14.625" style="100" customWidth="1"/>
    <col min="2569" max="2816" width="9" style="100"/>
    <col min="2817" max="2824" width="14.625" style="100" customWidth="1"/>
    <col min="2825" max="3072" width="9" style="100"/>
    <col min="3073" max="3080" width="14.625" style="100" customWidth="1"/>
    <col min="3081" max="3328" width="9" style="100"/>
    <col min="3329" max="3336" width="14.625" style="100" customWidth="1"/>
    <col min="3337" max="3584" width="9" style="100"/>
    <col min="3585" max="3592" width="14.625" style="100" customWidth="1"/>
    <col min="3593" max="3840" width="9" style="100"/>
    <col min="3841" max="3848" width="14.625" style="100" customWidth="1"/>
    <col min="3849" max="4096" width="9" style="100"/>
    <col min="4097" max="4104" width="14.625" style="100" customWidth="1"/>
    <col min="4105" max="4352" width="9" style="100"/>
    <col min="4353" max="4360" width="14.625" style="100" customWidth="1"/>
    <col min="4361" max="4608" width="9" style="100"/>
    <col min="4609" max="4616" width="14.625" style="100" customWidth="1"/>
    <col min="4617" max="4864" width="9" style="100"/>
    <col min="4865" max="4872" width="14.625" style="100" customWidth="1"/>
    <col min="4873" max="5120" width="9" style="100"/>
    <col min="5121" max="5128" width="14.625" style="100" customWidth="1"/>
    <col min="5129" max="5376" width="9" style="100"/>
    <col min="5377" max="5384" width="14.625" style="100" customWidth="1"/>
    <col min="5385" max="5632" width="9" style="100"/>
    <col min="5633" max="5640" width="14.625" style="100" customWidth="1"/>
    <col min="5641" max="5888" width="9" style="100"/>
    <col min="5889" max="5896" width="14.625" style="100" customWidth="1"/>
    <col min="5897" max="6144" width="9" style="100"/>
    <col min="6145" max="6152" width="14.625" style="100" customWidth="1"/>
    <col min="6153" max="6400" width="9" style="100"/>
    <col min="6401" max="6408" width="14.625" style="100" customWidth="1"/>
    <col min="6409" max="6656" width="9" style="100"/>
    <col min="6657" max="6664" width="14.625" style="100" customWidth="1"/>
    <col min="6665" max="6912" width="9" style="100"/>
    <col min="6913" max="6920" width="14.625" style="100" customWidth="1"/>
    <col min="6921" max="7168" width="9" style="100"/>
    <col min="7169" max="7176" width="14.625" style="100" customWidth="1"/>
    <col min="7177" max="7424" width="9" style="100"/>
    <col min="7425" max="7432" width="14.625" style="100" customWidth="1"/>
    <col min="7433" max="7680" width="9" style="100"/>
    <col min="7681" max="7688" width="14.625" style="100" customWidth="1"/>
    <col min="7689" max="7936" width="9" style="100"/>
    <col min="7937" max="7944" width="14.625" style="100" customWidth="1"/>
    <col min="7945" max="8192" width="9" style="100"/>
    <col min="8193" max="8200" width="14.625" style="100" customWidth="1"/>
    <col min="8201" max="8448" width="9" style="100"/>
    <col min="8449" max="8456" width="14.625" style="100" customWidth="1"/>
    <col min="8457" max="8704" width="9" style="100"/>
    <col min="8705" max="8712" width="14.625" style="100" customWidth="1"/>
    <col min="8713" max="8960" width="9" style="100"/>
    <col min="8961" max="8968" width="14.625" style="100" customWidth="1"/>
    <col min="8969" max="9216" width="9" style="100"/>
    <col min="9217" max="9224" width="14.625" style="100" customWidth="1"/>
    <col min="9225" max="9472" width="9" style="100"/>
    <col min="9473" max="9480" width="14.625" style="100" customWidth="1"/>
    <col min="9481" max="9728" width="9" style="100"/>
    <col min="9729" max="9736" width="14.625" style="100" customWidth="1"/>
    <col min="9737" max="9984" width="9" style="100"/>
    <col min="9985" max="9992" width="14.625" style="100" customWidth="1"/>
    <col min="9993" max="10240" width="9" style="100"/>
    <col min="10241" max="10248" width="14.625" style="100" customWidth="1"/>
    <col min="10249" max="10496" width="9" style="100"/>
    <col min="10497" max="10504" width="14.625" style="100" customWidth="1"/>
    <col min="10505" max="10752" width="9" style="100"/>
    <col min="10753" max="10760" width="14.625" style="100" customWidth="1"/>
    <col min="10761" max="11008" width="9" style="100"/>
    <col min="11009" max="11016" width="14.625" style="100" customWidth="1"/>
    <col min="11017" max="11264" width="9" style="100"/>
    <col min="11265" max="11272" width="14.625" style="100" customWidth="1"/>
    <col min="11273" max="11520" width="9" style="100"/>
    <col min="11521" max="11528" width="14.625" style="100" customWidth="1"/>
    <col min="11529" max="11776" width="9" style="100"/>
    <col min="11777" max="11784" width="14.625" style="100" customWidth="1"/>
    <col min="11785" max="12032" width="9" style="100"/>
    <col min="12033" max="12040" width="14.625" style="100" customWidth="1"/>
    <col min="12041" max="12288" width="9" style="100"/>
    <col min="12289" max="12296" width="14.625" style="100" customWidth="1"/>
    <col min="12297" max="12544" width="9" style="100"/>
    <col min="12545" max="12552" width="14.625" style="100" customWidth="1"/>
    <col min="12553" max="12800" width="9" style="100"/>
    <col min="12801" max="12808" width="14.625" style="100" customWidth="1"/>
    <col min="12809" max="13056" width="9" style="100"/>
    <col min="13057" max="13064" width="14.625" style="100" customWidth="1"/>
    <col min="13065" max="13312" width="9" style="100"/>
    <col min="13313" max="13320" width="14.625" style="100" customWidth="1"/>
    <col min="13321" max="13568" width="9" style="100"/>
    <col min="13569" max="13576" width="14.625" style="100" customWidth="1"/>
    <col min="13577" max="13824" width="9" style="100"/>
    <col min="13825" max="13832" width="14.625" style="100" customWidth="1"/>
    <col min="13833" max="14080" width="9" style="100"/>
    <col min="14081" max="14088" width="14.625" style="100" customWidth="1"/>
    <col min="14089" max="14336" width="9" style="100"/>
    <col min="14337" max="14344" width="14.625" style="100" customWidth="1"/>
    <col min="14345" max="14592" width="9" style="100"/>
    <col min="14593" max="14600" width="14.625" style="100" customWidth="1"/>
    <col min="14601" max="14848" width="9" style="100"/>
    <col min="14849" max="14856" width="14.625" style="100" customWidth="1"/>
    <col min="14857" max="15104" width="9" style="100"/>
    <col min="15105" max="15112" width="14.625" style="100" customWidth="1"/>
    <col min="15113" max="15360" width="9" style="100"/>
    <col min="15361" max="15368" width="14.625" style="100" customWidth="1"/>
    <col min="15369" max="15616" width="9" style="100"/>
    <col min="15617" max="15624" width="14.625" style="100" customWidth="1"/>
    <col min="15625" max="15872" width="9" style="100"/>
    <col min="15873" max="15880" width="14.625" style="100" customWidth="1"/>
    <col min="15881" max="16128" width="9" style="100"/>
    <col min="16129" max="16136" width="14.625" style="100" customWidth="1"/>
    <col min="16137" max="16384" width="9" style="100"/>
  </cols>
  <sheetData>
    <row r="1" spans="1:8" ht="31.5" x14ac:dyDescent="0.15">
      <c r="A1" s="188" t="s">
        <v>597</v>
      </c>
      <c r="B1" s="188"/>
      <c r="C1" s="188"/>
      <c r="D1" s="188"/>
      <c r="E1" s="188"/>
      <c r="F1" s="188"/>
      <c r="G1" s="188"/>
      <c r="H1" s="188"/>
    </row>
    <row r="2" spans="1:8" ht="25.5" x14ac:dyDescent="0.15">
      <c r="A2" s="101"/>
      <c r="B2" s="102" t="s">
        <v>598</v>
      </c>
      <c r="C2" s="101" t="s">
        <v>599</v>
      </c>
      <c r="D2" s="103"/>
      <c r="E2" s="101"/>
      <c r="F2" s="101"/>
      <c r="G2" s="101"/>
      <c r="H2" s="101"/>
    </row>
    <row r="3" spans="1:8" ht="25.5" x14ac:dyDescent="0.15">
      <c r="A3" s="104" t="s">
        <v>600</v>
      </c>
      <c r="B3" s="101" t="s">
        <v>601</v>
      </c>
      <c r="C3" s="102" t="s">
        <v>602</v>
      </c>
      <c r="D3" s="105"/>
      <c r="E3" s="102" t="s">
        <v>603</v>
      </c>
      <c r="F3" s="101" t="s">
        <v>604</v>
      </c>
      <c r="G3" s="101" t="s">
        <v>605</v>
      </c>
      <c r="H3" s="101" t="s">
        <v>606</v>
      </c>
    </row>
    <row r="4" spans="1:8" ht="25.5" x14ac:dyDescent="0.15">
      <c r="A4" s="102" t="s">
        <v>607</v>
      </c>
      <c r="B4" s="101" t="s">
        <v>608</v>
      </c>
      <c r="C4" s="101" t="s">
        <v>609</v>
      </c>
      <c r="D4" s="105"/>
      <c r="E4" s="106" t="s">
        <v>610</v>
      </c>
      <c r="F4" s="102" t="s">
        <v>611</v>
      </c>
      <c r="G4" s="102" t="s">
        <v>612</v>
      </c>
      <c r="H4" s="102" t="s">
        <v>613</v>
      </c>
    </row>
    <row r="5" spans="1:8" ht="25.5" x14ac:dyDescent="0.15">
      <c r="A5" s="101" t="s">
        <v>614</v>
      </c>
      <c r="B5" s="107" t="s">
        <v>615</v>
      </c>
      <c r="C5" s="101" t="s">
        <v>616</v>
      </c>
      <c r="D5" s="105"/>
      <c r="E5" s="102" t="s">
        <v>617</v>
      </c>
      <c r="F5" s="102" t="s">
        <v>618</v>
      </c>
      <c r="G5" s="102" t="s">
        <v>619</v>
      </c>
      <c r="H5" s="102" t="s">
        <v>620</v>
      </c>
    </row>
    <row r="6" spans="1:8" ht="25.5" x14ac:dyDescent="0.15">
      <c r="A6" s="104" t="s">
        <v>621</v>
      </c>
      <c r="B6" s="101" t="s">
        <v>622</v>
      </c>
      <c r="C6" s="102" t="s">
        <v>623</v>
      </c>
      <c r="D6" s="105"/>
      <c r="E6" s="108" t="s">
        <v>624</v>
      </c>
      <c r="F6" s="102" t="s">
        <v>625</v>
      </c>
      <c r="G6" s="106" t="s">
        <v>626</v>
      </c>
      <c r="H6" s="102" t="s">
        <v>627</v>
      </c>
    </row>
    <row r="7" spans="1:8" ht="25.5" x14ac:dyDescent="0.15">
      <c r="A7" s="101" t="s">
        <v>628</v>
      </c>
      <c r="B7" s="101" t="s">
        <v>629</v>
      </c>
      <c r="C7" s="101" t="s">
        <v>630</v>
      </c>
      <c r="D7" s="105"/>
      <c r="E7" s="101" t="s">
        <v>631</v>
      </c>
      <c r="F7" s="102" t="s">
        <v>632</v>
      </c>
      <c r="G7" s="101" t="s">
        <v>633</v>
      </c>
      <c r="H7" s="101" t="s">
        <v>634</v>
      </c>
    </row>
    <row r="8" spans="1:8" ht="25.5" x14ac:dyDescent="0.15">
      <c r="A8" s="101" t="s">
        <v>635</v>
      </c>
      <c r="B8" s="104" t="s">
        <v>636</v>
      </c>
      <c r="C8" s="101" t="s">
        <v>637</v>
      </c>
      <c r="D8" s="105"/>
      <c r="E8" s="101" t="s">
        <v>638</v>
      </c>
      <c r="F8" s="101" t="s">
        <v>639</v>
      </c>
      <c r="G8" s="104" t="s">
        <v>640</v>
      </c>
      <c r="H8" s="101" t="s">
        <v>641</v>
      </c>
    </row>
    <row r="9" spans="1:8" ht="25.5" x14ac:dyDescent="0.15">
      <c r="A9" s="101" t="s">
        <v>642</v>
      </c>
      <c r="B9" s="102" t="s">
        <v>643</v>
      </c>
      <c r="C9" s="101" t="s">
        <v>644</v>
      </c>
      <c r="D9" s="105"/>
      <c r="E9" s="101" t="s">
        <v>645</v>
      </c>
      <c r="F9" s="101" t="s">
        <v>646</v>
      </c>
      <c r="G9" s="101" t="s">
        <v>647</v>
      </c>
      <c r="H9" s="101" t="s">
        <v>648</v>
      </c>
    </row>
    <row r="10" spans="1:8" ht="25.5" x14ac:dyDescent="0.15">
      <c r="A10" s="101" t="s">
        <v>649</v>
      </c>
      <c r="B10" s="101" t="s">
        <v>650</v>
      </c>
      <c r="C10" s="104" t="s">
        <v>651</v>
      </c>
      <c r="D10" s="109"/>
      <c r="E10" s="104" t="s">
        <v>652</v>
      </c>
      <c r="F10" s="101" t="s">
        <v>653</v>
      </c>
      <c r="G10" s="101" t="s">
        <v>654</v>
      </c>
      <c r="H10" s="102" t="s">
        <v>655</v>
      </c>
    </row>
  </sheetData>
  <mergeCells count="1">
    <mergeCell ref="A1:H1"/>
  </mergeCells>
  <phoneticPr fontId="25" type="noConversion"/>
  <pageMargins left="0.75" right="0.75" top="1" bottom="1" header="0.5" footer="0.5"/>
  <pageSetup paperSize="9" orientation="landscape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0"/>
  <sheetViews>
    <sheetView workbookViewId="0">
      <selection activeCell="G8" sqref="G8"/>
    </sheetView>
  </sheetViews>
  <sheetFormatPr defaultRowHeight="27" x14ac:dyDescent="0.15"/>
  <cols>
    <col min="1" max="4" width="13.625" style="112" customWidth="1"/>
    <col min="5" max="5" width="7.75" style="112" customWidth="1"/>
    <col min="6" max="9" width="13.625" style="112" customWidth="1"/>
    <col min="10" max="256" width="9" style="112"/>
    <col min="257" max="260" width="13.625" style="112" customWidth="1"/>
    <col min="261" max="261" width="7.75" style="112" customWidth="1"/>
    <col min="262" max="265" width="13.625" style="112" customWidth="1"/>
    <col min="266" max="512" width="9" style="112"/>
    <col min="513" max="516" width="13.625" style="112" customWidth="1"/>
    <col min="517" max="517" width="7.75" style="112" customWidth="1"/>
    <col min="518" max="521" width="13.625" style="112" customWidth="1"/>
    <col min="522" max="768" width="9" style="112"/>
    <col min="769" max="772" width="13.625" style="112" customWidth="1"/>
    <col min="773" max="773" width="7.75" style="112" customWidth="1"/>
    <col min="774" max="777" width="13.625" style="112" customWidth="1"/>
    <col min="778" max="1024" width="9" style="112"/>
    <col min="1025" max="1028" width="13.625" style="112" customWidth="1"/>
    <col min="1029" max="1029" width="7.75" style="112" customWidth="1"/>
    <col min="1030" max="1033" width="13.625" style="112" customWidth="1"/>
    <col min="1034" max="1280" width="9" style="112"/>
    <col min="1281" max="1284" width="13.625" style="112" customWidth="1"/>
    <col min="1285" max="1285" width="7.75" style="112" customWidth="1"/>
    <col min="1286" max="1289" width="13.625" style="112" customWidth="1"/>
    <col min="1290" max="1536" width="9" style="112"/>
    <col min="1537" max="1540" width="13.625" style="112" customWidth="1"/>
    <col min="1541" max="1541" width="7.75" style="112" customWidth="1"/>
    <col min="1542" max="1545" width="13.625" style="112" customWidth="1"/>
    <col min="1546" max="1792" width="9" style="112"/>
    <col min="1793" max="1796" width="13.625" style="112" customWidth="1"/>
    <col min="1797" max="1797" width="7.75" style="112" customWidth="1"/>
    <col min="1798" max="1801" width="13.625" style="112" customWidth="1"/>
    <col min="1802" max="2048" width="9" style="112"/>
    <col min="2049" max="2052" width="13.625" style="112" customWidth="1"/>
    <col min="2053" max="2053" width="7.75" style="112" customWidth="1"/>
    <col min="2054" max="2057" width="13.625" style="112" customWidth="1"/>
    <col min="2058" max="2304" width="9" style="112"/>
    <col min="2305" max="2308" width="13.625" style="112" customWidth="1"/>
    <col min="2309" max="2309" width="7.75" style="112" customWidth="1"/>
    <col min="2310" max="2313" width="13.625" style="112" customWidth="1"/>
    <col min="2314" max="2560" width="9" style="112"/>
    <col min="2561" max="2564" width="13.625" style="112" customWidth="1"/>
    <col min="2565" max="2565" width="7.75" style="112" customWidth="1"/>
    <col min="2566" max="2569" width="13.625" style="112" customWidth="1"/>
    <col min="2570" max="2816" width="9" style="112"/>
    <col min="2817" max="2820" width="13.625" style="112" customWidth="1"/>
    <col min="2821" max="2821" width="7.75" style="112" customWidth="1"/>
    <col min="2822" max="2825" width="13.625" style="112" customWidth="1"/>
    <col min="2826" max="3072" width="9" style="112"/>
    <col min="3073" max="3076" width="13.625" style="112" customWidth="1"/>
    <col min="3077" max="3077" width="7.75" style="112" customWidth="1"/>
    <col min="3078" max="3081" width="13.625" style="112" customWidth="1"/>
    <col min="3082" max="3328" width="9" style="112"/>
    <col min="3329" max="3332" width="13.625" style="112" customWidth="1"/>
    <col min="3333" max="3333" width="7.75" style="112" customWidth="1"/>
    <col min="3334" max="3337" width="13.625" style="112" customWidth="1"/>
    <col min="3338" max="3584" width="9" style="112"/>
    <col min="3585" max="3588" width="13.625" style="112" customWidth="1"/>
    <col min="3589" max="3589" width="7.75" style="112" customWidth="1"/>
    <col min="3590" max="3593" width="13.625" style="112" customWidth="1"/>
    <col min="3594" max="3840" width="9" style="112"/>
    <col min="3841" max="3844" width="13.625" style="112" customWidth="1"/>
    <col min="3845" max="3845" width="7.75" style="112" customWidth="1"/>
    <col min="3846" max="3849" width="13.625" style="112" customWidth="1"/>
    <col min="3850" max="4096" width="9" style="112"/>
    <col min="4097" max="4100" width="13.625" style="112" customWidth="1"/>
    <col min="4101" max="4101" width="7.75" style="112" customWidth="1"/>
    <col min="4102" max="4105" width="13.625" style="112" customWidth="1"/>
    <col min="4106" max="4352" width="9" style="112"/>
    <col min="4353" max="4356" width="13.625" style="112" customWidth="1"/>
    <col min="4357" max="4357" width="7.75" style="112" customWidth="1"/>
    <col min="4358" max="4361" width="13.625" style="112" customWidth="1"/>
    <col min="4362" max="4608" width="9" style="112"/>
    <col min="4609" max="4612" width="13.625" style="112" customWidth="1"/>
    <col min="4613" max="4613" width="7.75" style="112" customWidth="1"/>
    <col min="4614" max="4617" width="13.625" style="112" customWidth="1"/>
    <col min="4618" max="4864" width="9" style="112"/>
    <col min="4865" max="4868" width="13.625" style="112" customWidth="1"/>
    <col min="4869" max="4869" width="7.75" style="112" customWidth="1"/>
    <col min="4870" max="4873" width="13.625" style="112" customWidth="1"/>
    <col min="4874" max="5120" width="9" style="112"/>
    <col min="5121" max="5124" width="13.625" style="112" customWidth="1"/>
    <col min="5125" max="5125" width="7.75" style="112" customWidth="1"/>
    <col min="5126" max="5129" width="13.625" style="112" customWidth="1"/>
    <col min="5130" max="5376" width="9" style="112"/>
    <col min="5377" max="5380" width="13.625" style="112" customWidth="1"/>
    <col min="5381" max="5381" width="7.75" style="112" customWidth="1"/>
    <col min="5382" max="5385" width="13.625" style="112" customWidth="1"/>
    <col min="5386" max="5632" width="9" style="112"/>
    <col min="5633" max="5636" width="13.625" style="112" customWidth="1"/>
    <col min="5637" max="5637" width="7.75" style="112" customWidth="1"/>
    <col min="5638" max="5641" width="13.625" style="112" customWidth="1"/>
    <col min="5642" max="5888" width="9" style="112"/>
    <col min="5889" max="5892" width="13.625" style="112" customWidth="1"/>
    <col min="5893" max="5893" width="7.75" style="112" customWidth="1"/>
    <col min="5894" max="5897" width="13.625" style="112" customWidth="1"/>
    <col min="5898" max="6144" width="9" style="112"/>
    <col min="6145" max="6148" width="13.625" style="112" customWidth="1"/>
    <col min="6149" max="6149" width="7.75" style="112" customWidth="1"/>
    <col min="6150" max="6153" width="13.625" style="112" customWidth="1"/>
    <col min="6154" max="6400" width="9" style="112"/>
    <col min="6401" max="6404" width="13.625" style="112" customWidth="1"/>
    <col min="6405" max="6405" width="7.75" style="112" customWidth="1"/>
    <col min="6406" max="6409" width="13.625" style="112" customWidth="1"/>
    <col min="6410" max="6656" width="9" style="112"/>
    <col min="6657" max="6660" width="13.625" style="112" customWidth="1"/>
    <col min="6661" max="6661" width="7.75" style="112" customWidth="1"/>
    <col min="6662" max="6665" width="13.625" style="112" customWidth="1"/>
    <col min="6666" max="6912" width="9" style="112"/>
    <col min="6913" max="6916" width="13.625" style="112" customWidth="1"/>
    <col min="6917" max="6917" width="7.75" style="112" customWidth="1"/>
    <col min="6918" max="6921" width="13.625" style="112" customWidth="1"/>
    <col min="6922" max="7168" width="9" style="112"/>
    <col min="7169" max="7172" width="13.625" style="112" customWidth="1"/>
    <col min="7173" max="7173" width="7.75" style="112" customWidth="1"/>
    <col min="7174" max="7177" width="13.625" style="112" customWidth="1"/>
    <col min="7178" max="7424" width="9" style="112"/>
    <col min="7425" max="7428" width="13.625" style="112" customWidth="1"/>
    <col min="7429" max="7429" width="7.75" style="112" customWidth="1"/>
    <col min="7430" max="7433" width="13.625" style="112" customWidth="1"/>
    <col min="7434" max="7680" width="9" style="112"/>
    <col min="7681" max="7684" width="13.625" style="112" customWidth="1"/>
    <col min="7685" max="7685" width="7.75" style="112" customWidth="1"/>
    <col min="7686" max="7689" width="13.625" style="112" customWidth="1"/>
    <col min="7690" max="7936" width="9" style="112"/>
    <col min="7937" max="7940" width="13.625" style="112" customWidth="1"/>
    <col min="7941" max="7941" width="7.75" style="112" customWidth="1"/>
    <col min="7942" max="7945" width="13.625" style="112" customWidth="1"/>
    <col min="7946" max="8192" width="9" style="112"/>
    <col min="8193" max="8196" width="13.625" style="112" customWidth="1"/>
    <col min="8197" max="8197" width="7.75" style="112" customWidth="1"/>
    <col min="8198" max="8201" width="13.625" style="112" customWidth="1"/>
    <col min="8202" max="8448" width="9" style="112"/>
    <col min="8449" max="8452" width="13.625" style="112" customWidth="1"/>
    <col min="8453" max="8453" width="7.75" style="112" customWidth="1"/>
    <col min="8454" max="8457" width="13.625" style="112" customWidth="1"/>
    <col min="8458" max="8704" width="9" style="112"/>
    <col min="8705" max="8708" width="13.625" style="112" customWidth="1"/>
    <col min="8709" max="8709" width="7.75" style="112" customWidth="1"/>
    <col min="8710" max="8713" width="13.625" style="112" customWidth="1"/>
    <col min="8714" max="8960" width="9" style="112"/>
    <col min="8961" max="8964" width="13.625" style="112" customWidth="1"/>
    <col min="8965" max="8965" width="7.75" style="112" customWidth="1"/>
    <col min="8966" max="8969" width="13.625" style="112" customWidth="1"/>
    <col min="8970" max="9216" width="9" style="112"/>
    <col min="9217" max="9220" width="13.625" style="112" customWidth="1"/>
    <col min="9221" max="9221" width="7.75" style="112" customWidth="1"/>
    <col min="9222" max="9225" width="13.625" style="112" customWidth="1"/>
    <col min="9226" max="9472" width="9" style="112"/>
    <col min="9473" max="9476" width="13.625" style="112" customWidth="1"/>
    <col min="9477" max="9477" width="7.75" style="112" customWidth="1"/>
    <col min="9478" max="9481" width="13.625" style="112" customWidth="1"/>
    <col min="9482" max="9728" width="9" style="112"/>
    <col min="9729" max="9732" width="13.625" style="112" customWidth="1"/>
    <col min="9733" max="9733" width="7.75" style="112" customWidth="1"/>
    <col min="9734" max="9737" width="13.625" style="112" customWidth="1"/>
    <col min="9738" max="9984" width="9" style="112"/>
    <col min="9985" max="9988" width="13.625" style="112" customWidth="1"/>
    <col min="9989" max="9989" width="7.75" style="112" customWidth="1"/>
    <col min="9990" max="9993" width="13.625" style="112" customWidth="1"/>
    <col min="9994" max="10240" width="9" style="112"/>
    <col min="10241" max="10244" width="13.625" style="112" customWidth="1"/>
    <col min="10245" max="10245" width="7.75" style="112" customWidth="1"/>
    <col min="10246" max="10249" width="13.625" style="112" customWidth="1"/>
    <col min="10250" max="10496" width="9" style="112"/>
    <col min="10497" max="10500" width="13.625" style="112" customWidth="1"/>
    <col min="10501" max="10501" width="7.75" style="112" customWidth="1"/>
    <col min="10502" max="10505" width="13.625" style="112" customWidth="1"/>
    <col min="10506" max="10752" width="9" style="112"/>
    <col min="10753" max="10756" width="13.625" style="112" customWidth="1"/>
    <col min="10757" max="10757" width="7.75" style="112" customWidth="1"/>
    <col min="10758" max="10761" width="13.625" style="112" customWidth="1"/>
    <col min="10762" max="11008" width="9" style="112"/>
    <col min="11009" max="11012" width="13.625" style="112" customWidth="1"/>
    <col min="11013" max="11013" width="7.75" style="112" customWidth="1"/>
    <col min="11014" max="11017" width="13.625" style="112" customWidth="1"/>
    <col min="11018" max="11264" width="9" style="112"/>
    <col min="11265" max="11268" width="13.625" style="112" customWidth="1"/>
    <col min="11269" max="11269" width="7.75" style="112" customWidth="1"/>
    <col min="11270" max="11273" width="13.625" style="112" customWidth="1"/>
    <col min="11274" max="11520" width="9" style="112"/>
    <col min="11521" max="11524" width="13.625" style="112" customWidth="1"/>
    <col min="11525" max="11525" width="7.75" style="112" customWidth="1"/>
    <col min="11526" max="11529" width="13.625" style="112" customWidth="1"/>
    <col min="11530" max="11776" width="9" style="112"/>
    <col min="11777" max="11780" width="13.625" style="112" customWidth="1"/>
    <col min="11781" max="11781" width="7.75" style="112" customWidth="1"/>
    <col min="11782" max="11785" width="13.625" style="112" customWidth="1"/>
    <col min="11786" max="12032" width="9" style="112"/>
    <col min="12033" max="12036" width="13.625" style="112" customWidth="1"/>
    <col min="12037" max="12037" width="7.75" style="112" customWidth="1"/>
    <col min="12038" max="12041" width="13.625" style="112" customWidth="1"/>
    <col min="12042" max="12288" width="9" style="112"/>
    <col min="12289" max="12292" width="13.625" style="112" customWidth="1"/>
    <col min="12293" max="12293" width="7.75" style="112" customWidth="1"/>
    <col min="12294" max="12297" width="13.625" style="112" customWidth="1"/>
    <col min="12298" max="12544" width="9" style="112"/>
    <col min="12545" max="12548" width="13.625" style="112" customWidth="1"/>
    <col min="12549" max="12549" width="7.75" style="112" customWidth="1"/>
    <col min="12550" max="12553" width="13.625" style="112" customWidth="1"/>
    <col min="12554" max="12800" width="9" style="112"/>
    <col min="12801" max="12804" width="13.625" style="112" customWidth="1"/>
    <col min="12805" max="12805" width="7.75" style="112" customWidth="1"/>
    <col min="12806" max="12809" width="13.625" style="112" customWidth="1"/>
    <col min="12810" max="13056" width="9" style="112"/>
    <col min="13057" max="13060" width="13.625" style="112" customWidth="1"/>
    <col min="13061" max="13061" width="7.75" style="112" customWidth="1"/>
    <col min="13062" max="13065" width="13.625" style="112" customWidth="1"/>
    <col min="13066" max="13312" width="9" style="112"/>
    <col min="13313" max="13316" width="13.625" style="112" customWidth="1"/>
    <col min="13317" max="13317" width="7.75" style="112" customWidth="1"/>
    <col min="13318" max="13321" width="13.625" style="112" customWidth="1"/>
    <col min="13322" max="13568" width="9" style="112"/>
    <col min="13569" max="13572" width="13.625" style="112" customWidth="1"/>
    <col min="13573" max="13573" width="7.75" style="112" customWidth="1"/>
    <col min="13574" max="13577" width="13.625" style="112" customWidth="1"/>
    <col min="13578" max="13824" width="9" style="112"/>
    <col min="13825" max="13828" width="13.625" style="112" customWidth="1"/>
    <col min="13829" max="13829" width="7.75" style="112" customWidth="1"/>
    <col min="13830" max="13833" width="13.625" style="112" customWidth="1"/>
    <col min="13834" max="14080" width="9" style="112"/>
    <col min="14081" max="14084" width="13.625" style="112" customWidth="1"/>
    <col min="14085" max="14085" width="7.75" style="112" customWidth="1"/>
    <col min="14086" max="14089" width="13.625" style="112" customWidth="1"/>
    <col min="14090" max="14336" width="9" style="112"/>
    <col min="14337" max="14340" width="13.625" style="112" customWidth="1"/>
    <col min="14341" max="14341" width="7.75" style="112" customWidth="1"/>
    <col min="14342" max="14345" width="13.625" style="112" customWidth="1"/>
    <col min="14346" max="14592" width="9" style="112"/>
    <col min="14593" max="14596" width="13.625" style="112" customWidth="1"/>
    <col min="14597" max="14597" width="7.75" style="112" customWidth="1"/>
    <col min="14598" max="14601" width="13.625" style="112" customWidth="1"/>
    <col min="14602" max="14848" width="9" style="112"/>
    <col min="14849" max="14852" width="13.625" style="112" customWidth="1"/>
    <col min="14853" max="14853" width="7.75" style="112" customWidth="1"/>
    <col min="14854" max="14857" width="13.625" style="112" customWidth="1"/>
    <col min="14858" max="15104" width="9" style="112"/>
    <col min="15105" max="15108" width="13.625" style="112" customWidth="1"/>
    <col min="15109" max="15109" width="7.75" style="112" customWidth="1"/>
    <col min="15110" max="15113" width="13.625" style="112" customWidth="1"/>
    <col min="15114" max="15360" width="9" style="112"/>
    <col min="15361" max="15364" width="13.625" style="112" customWidth="1"/>
    <col min="15365" max="15365" width="7.75" style="112" customWidth="1"/>
    <col min="15366" max="15369" width="13.625" style="112" customWidth="1"/>
    <col min="15370" max="15616" width="9" style="112"/>
    <col min="15617" max="15620" width="13.625" style="112" customWidth="1"/>
    <col min="15621" max="15621" width="7.75" style="112" customWidth="1"/>
    <col min="15622" max="15625" width="13.625" style="112" customWidth="1"/>
    <col min="15626" max="15872" width="9" style="112"/>
    <col min="15873" max="15876" width="13.625" style="112" customWidth="1"/>
    <col min="15877" max="15877" width="7.75" style="112" customWidth="1"/>
    <col min="15878" max="15881" width="13.625" style="112" customWidth="1"/>
    <col min="15882" max="16128" width="9" style="112"/>
    <col min="16129" max="16132" width="13.625" style="112" customWidth="1"/>
    <col min="16133" max="16133" width="7.75" style="112" customWidth="1"/>
    <col min="16134" max="16137" width="13.625" style="112" customWidth="1"/>
    <col min="16138" max="16384" width="9" style="112"/>
  </cols>
  <sheetData>
    <row r="1" spans="1:9" x14ac:dyDescent="0.15">
      <c r="A1" s="110" t="s">
        <v>656</v>
      </c>
      <c r="B1" s="110" t="s">
        <v>657</v>
      </c>
      <c r="C1" s="110" t="s">
        <v>658</v>
      </c>
      <c r="D1" s="110" t="s">
        <v>659</v>
      </c>
      <c r="E1" s="111"/>
      <c r="F1" s="110" t="s">
        <v>660</v>
      </c>
      <c r="G1" s="110" t="s">
        <v>661</v>
      </c>
      <c r="H1" s="110" t="s">
        <v>662</v>
      </c>
      <c r="I1" s="110" t="s">
        <v>663</v>
      </c>
    </row>
    <row r="2" spans="1:9" x14ac:dyDescent="0.15">
      <c r="A2" s="113" t="s">
        <v>664</v>
      </c>
      <c r="B2" s="113" t="s">
        <v>665</v>
      </c>
      <c r="C2" s="113" t="s">
        <v>666</v>
      </c>
      <c r="D2" s="113" t="s">
        <v>667</v>
      </c>
      <c r="E2" s="114"/>
      <c r="F2" s="113" t="s">
        <v>668</v>
      </c>
      <c r="G2" s="113" t="s">
        <v>669</v>
      </c>
      <c r="H2" s="113" t="s">
        <v>670</v>
      </c>
      <c r="I2" s="113" t="s">
        <v>671</v>
      </c>
    </row>
    <row r="3" spans="1:9" x14ac:dyDescent="0.15">
      <c r="A3" s="101" t="s">
        <v>672</v>
      </c>
      <c r="B3" s="101" t="s">
        <v>673</v>
      </c>
      <c r="C3" s="101" t="s">
        <v>674</v>
      </c>
      <c r="D3" s="101" t="s">
        <v>675</v>
      </c>
      <c r="E3" s="114"/>
      <c r="F3" s="101" t="s">
        <v>676</v>
      </c>
      <c r="G3" s="101" t="s">
        <v>677</v>
      </c>
      <c r="H3" s="101" t="s">
        <v>678</v>
      </c>
      <c r="I3" s="102" t="s">
        <v>679</v>
      </c>
    </row>
    <row r="4" spans="1:9" x14ac:dyDescent="0.15">
      <c r="A4" s="101" t="s">
        <v>680</v>
      </c>
      <c r="B4" s="101" t="s">
        <v>681</v>
      </c>
      <c r="C4" s="101" t="s">
        <v>682</v>
      </c>
      <c r="D4" s="101" t="s">
        <v>683</v>
      </c>
      <c r="E4" s="114"/>
      <c r="F4" s="101" t="s">
        <v>684</v>
      </c>
      <c r="G4" s="102" t="s">
        <v>685</v>
      </c>
      <c r="H4" s="101" t="s">
        <v>686</v>
      </c>
      <c r="I4" s="101" t="s">
        <v>687</v>
      </c>
    </row>
    <row r="5" spans="1:9" x14ac:dyDescent="0.15">
      <c r="A5" s="101" t="s">
        <v>688</v>
      </c>
      <c r="B5" s="101" t="s">
        <v>689</v>
      </c>
      <c r="C5" s="101" t="s">
        <v>690</v>
      </c>
      <c r="D5" s="102" t="s">
        <v>691</v>
      </c>
      <c r="E5" s="114"/>
      <c r="F5" s="101" t="s">
        <v>692</v>
      </c>
      <c r="G5" s="101" t="s">
        <v>693</v>
      </c>
      <c r="H5" s="101" t="s">
        <v>694</v>
      </c>
      <c r="I5" s="101" t="s">
        <v>695</v>
      </c>
    </row>
    <row r="6" spans="1:9" x14ac:dyDescent="0.15">
      <c r="A6" s="102" t="s">
        <v>696</v>
      </c>
      <c r="B6" s="101" t="s">
        <v>697</v>
      </c>
      <c r="C6" s="102" t="s">
        <v>698</v>
      </c>
      <c r="D6" s="101" t="s">
        <v>699</v>
      </c>
      <c r="E6" s="114"/>
      <c r="F6" s="101" t="s">
        <v>700</v>
      </c>
      <c r="G6" s="101" t="s">
        <v>701</v>
      </c>
      <c r="H6" s="101" t="s">
        <v>702</v>
      </c>
      <c r="I6" s="102" t="s">
        <v>703</v>
      </c>
    </row>
    <row r="7" spans="1:9" x14ac:dyDescent="0.15">
      <c r="A7" s="102" t="s">
        <v>704</v>
      </c>
      <c r="B7" s="102" t="s">
        <v>705</v>
      </c>
      <c r="C7" s="101" t="s">
        <v>706</v>
      </c>
      <c r="D7" s="101" t="s">
        <v>707</v>
      </c>
      <c r="E7" s="114"/>
      <c r="F7" s="101" t="s">
        <v>708</v>
      </c>
      <c r="G7" s="101" t="s">
        <v>709</v>
      </c>
      <c r="H7" s="101" t="s">
        <v>710</v>
      </c>
      <c r="I7" s="101" t="s">
        <v>711</v>
      </c>
    </row>
    <row r="8" spans="1:9" x14ac:dyDescent="0.15">
      <c r="A8" s="102" t="s">
        <v>712</v>
      </c>
      <c r="B8" s="101" t="s">
        <v>713</v>
      </c>
      <c r="C8" s="115"/>
      <c r="D8" s="102" t="s">
        <v>714</v>
      </c>
      <c r="E8" s="114"/>
      <c r="F8" s="102" t="s">
        <v>715</v>
      </c>
      <c r="G8" s="102"/>
      <c r="H8" s="101"/>
      <c r="I8" s="102" t="s">
        <v>716</v>
      </c>
    </row>
    <row r="9" spans="1:9" x14ac:dyDescent="0.15">
      <c r="A9" s="102" t="s">
        <v>717</v>
      </c>
      <c r="B9" s="101" t="s">
        <v>653</v>
      </c>
      <c r="C9" s="115"/>
      <c r="D9" s="101" t="s">
        <v>718</v>
      </c>
      <c r="E9" s="114"/>
      <c r="F9" s="101" t="s">
        <v>719</v>
      </c>
      <c r="G9" s="101"/>
      <c r="H9" s="101"/>
      <c r="I9" s="101" t="s">
        <v>720</v>
      </c>
    </row>
    <row r="10" spans="1:9" x14ac:dyDescent="0.15">
      <c r="A10" s="189" t="s">
        <v>721</v>
      </c>
      <c r="B10" s="189"/>
      <c r="C10" s="189"/>
      <c r="D10" s="189"/>
      <c r="E10" s="114"/>
      <c r="F10" s="189" t="s">
        <v>722</v>
      </c>
      <c r="G10" s="189"/>
      <c r="H10" s="189"/>
      <c r="I10" s="189"/>
    </row>
  </sheetData>
  <mergeCells count="2">
    <mergeCell ref="A10:D10"/>
    <mergeCell ref="F10:I10"/>
  </mergeCells>
  <phoneticPr fontId="25" type="noConversion"/>
  <pageMargins left="0.75" right="0.75" top="1" bottom="1" header="0.5" footer="0.5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命名范围</vt:lpstr>
      </vt:variant>
      <vt:variant>
        <vt:i4>3</vt:i4>
      </vt:variant>
    </vt:vector>
  </HeadingPairs>
  <TitlesOfParts>
    <vt:vector size="15" baseType="lpstr">
      <vt:lpstr>Mainframe课程</vt:lpstr>
      <vt:lpstr>ETP MF Sun</vt:lpstr>
      <vt:lpstr>空白</vt:lpstr>
      <vt:lpstr>JSP</vt:lpstr>
      <vt:lpstr>Java</vt:lpstr>
      <vt:lpstr>日常考评记录</vt:lpstr>
      <vt:lpstr>ETP大型机课程计划OLD</vt:lpstr>
      <vt:lpstr>日历</vt:lpstr>
      <vt:lpstr>授课日记</vt:lpstr>
      <vt:lpstr>常熟三期MF班级状况表</vt:lpstr>
      <vt:lpstr>座位表</vt:lpstr>
      <vt:lpstr>小组</vt:lpstr>
      <vt:lpstr>Mainframe课程!Print_Area</vt:lpstr>
      <vt:lpstr>Java!Print_Titles</vt:lpstr>
      <vt:lpstr>Mainframe课程!Print_Titles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2013-06-01T08:24:03Z</dcterms:modified>
</cp:coreProperties>
</file>